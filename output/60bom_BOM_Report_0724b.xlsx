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Merge Candidate" sheetId="2" state="visible" r:id="rId2"/>
    <sheet name="Capacitor Summary" sheetId="3" state="visible" r:id="rId3"/>
    <sheet name="Merge Workspace" sheetId="4" state="visible" r:id="rId4"/>
    <sheet name="Resistor Summary" sheetId="5" state="visible" r:id="rId5"/>
    <sheet name="Resistor Detail" sheetId="6" state="visible" r:id="rId6"/>
    <sheet name="Resistor Nearby Value" sheetId="7" state="visible" r:id="rId7"/>
    <sheet name="AVL Candidate" sheetId="8" state="visible" r:id="rId8"/>
    <sheet name="Risk Review" sheetId="9" state="visible" r:id="rId9"/>
    <sheet name="Settings" sheetId="10" state="hidden" r:id="rId10"/>
  </sheets>
  <definedNames>
    <definedName name="_xlnm._FilterDatabase" localSheetId="1" hidden="1">'Merge Candidate'!$A$1:$M$5</definedName>
    <definedName name="_xlnm._FilterDatabase" localSheetId="2" hidden="1">'Capacitor Summary'!$A$1:$I$23</definedName>
    <definedName name="_xlnm._FilterDatabase" localSheetId="3" hidden="1">'Merge Workspace'!$A$1:$L$68</definedName>
    <definedName name="_xlnm._FilterDatabase" localSheetId="4" hidden="1">'Resistor Summary'!$A$1:$H$19</definedName>
    <definedName name="_xlnm._FilterDatabase" localSheetId="5" hidden="1">'Resistor Detail'!$A$1:$K$119</definedName>
    <definedName name="_xlnm._FilterDatabase" localSheetId="6" hidden="1">'Resistor Nearby Value'!$A$1:$H$104</definedName>
    <definedName name="_xlnm._FilterDatabase" localSheetId="7" hidden="1">'AVL Candidate'!$A$1:$G$175</definedName>
    <definedName name="_xlnm._FilterDatabase" localSheetId="8" hidden="1">'Risk Review'!$A$1:$F$21</definedName>
    <definedName name="_xlnm._FilterDatabase" localSheetId="9" hidden="1">'Settings'!$A$1:$D$62</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ptos"/>
      <b val="1"/>
      <color rgb="00FFFFFF"/>
      <sz val="10"/>
    </font>
    <font>
      <name val="Aptos"/>
      <color rgb="0017242F"/>
      <sz val="10"/>
    </font>
    <font>
      <name val="Aptos Display"/>
      <b val="1"/>
      <color rgb="00007F7B"/>
      <sz val="12"/>
    </font>
    <font>
      <name val="Aptos"/>
      <b val="1"/>
      <color rgb="0017242F"/>
      <sz val="10"/>
    </font>
    <font>
      <name val="Calibri"/>
      <family val="2"/>
      <color theme="10"/>
      <sz val="12"/>
      <scheme val="minor"/>
    </font>
    <font>
      <name val="Aptos Display"/>
      <b val="1"/>
      <color rgb="00FFFFFF"/>
      <sz val="24"/>
    </font>
    <font>
      <name val="Aptos"/>
      <color rgb="00607482"/>
      <sz val="11"/>
    </font>
    <font>
      <name val="Aptos"/>
      <b val="1"/>
      <color rgb="00607482"/>
      <sz val="10"/>
    </font>
    <font>
      <name val="Aptos Display"/>
      <b val="1"/>
      <color rgb="00007F7B"/>
      <sz val="22"/>
    </font>
    <font>
      <name val="Aptos"/>
      <color rgb="00607482"/>
      <sz val="9"/>
    </font>
    <font>
      <name val="Aptos"/>
      <b val="1"/>
      <color rgb="0017242F"/>
      <sz val="12"/>
    </font>
    <font>
      <name val="Aptos"/>
      <b val="1"/>
      <color rgb="0017242F"/>
      <sz val="11"/>
    </font>
    <font>
      <name val="Aptos Display"/>
      <b val="1"/>
      <color rgb="00007F7B"/>
      <sz val="16"/>
    </font>
  </fonts>
  <fills count="9">
    <fill>
      <patternFill/>
    </fill>
    <fill>
      <patternFill patternType="gray125"/>
    </fill>
    <fill>
      <patternFill patternType="solid">
        <fgColor rgb="0017324D"/>
      </patternFill>
    </fill>
    <fill>
      <patternFill patternType="solid">
        <fgColor rgb="00F5F8FA"/>
      </patternFill>
    </fill>
    <fill>
      <patternFill patternType="solid">
        <fgColor rgb="00D9EAD3"/>
      </patternFill>
    </fill>
    <fill>
      <patternFill patternType="solid">
        <fgColor rgb="00FFF2CC"/>
      </patternFill>
    </fill>
    <fill>
      <patternFill patternType="solid">
        <fgColor rgb="00DDF4F2"/>
      </patternFill>
    </fill>
    <fill>
      <patternFill patternType="solid">
        <fgColor rgb="00E7E9EC"/>
      </patternFill>
    </fill>
    <fill>
      <patternFill patternType="solid">
        <fgColor rgb="00FFFFFF"/>
      </patternFill>
    </fill>
  </fills>
  <borders count="10">
    <border>
      <left/>
      <right/>
      <top/>
      <bottom/>
      <diagonal/>
    </border>
    <border>
      <bottom style="hair">
        <color rgb="00D7E0E5"/>
      </bottom>
    </border>
    <border>
      <left style="thin">
        <color rgb="00D7E0E5"/>
      </left>
      <right style="thin">
        <color rgb="00D7E0E5"/>
      </right>
      <top style="thin">
        <color rgb="00D7E0E5"/>
      </top>
      <bottom style="thin">
        <color rgb="00D7E0E5"/>
      </bottom>
    </border>
    <border>
      <left/>
      <right/>
      <top style="thin">
        <color rgb="00D7E0E5"/>
      </top>
      <bottom/>
      <diagonal/>
    </border>
    <border>
      <left/>
      <right style="thin">
        <color rgb="00D7E0E5"/>
      </right>
      <top style="thin">
        <color rgb="00D7E0E5"/>
      </top>
      <bottom/>
      <diagonal/>
    </border>
    <border>
      <left/>
      <right style="thin">
        <color rgb="00D7E0E5"/>
      </right>
      <top style="thin">
        <color rgb="00D7E0E5"/>
      </top>
      <bottom style="thin">
        <color rgb="00D7E0E5"/>
      </bottom>
      <diagonal/>
    </border>
    <border>
      <left style="thin">
        <color rgb="00D7E0E5"/>
      </left>
      <right/>
      <top/>
      <bottom/>
      <diagonal/>
    </border>
    <border>
      <left/>
      <right style="thin">
        <color rgb="00D7E0E5"/>
      </right>
      <top/>
      <bottom/>
      <diagonal/>
    </border>
    <border>
      <left style="thin">
        <color rgb="00D7E0E5"/>
      </left>
      <right/>
      <top/>
      <bottom style="thin">
        <color rgb="00D7E0E5"/>
      </bottom>
      <diagonal/>
    </border>
    <border>
      <left/>
      <right style="thin">
        <color rgb="00D7E0E5"/>
      </right>
      <top/>
      <bottom style="thin">
        <color rgb="00D7E0E5"/>
      </bottom>
      <diagonal/>
    </border>
  </borders>
  <cellStyleXfs count="2">
    <xf numFmtId="0" fontId="0" fillId="0" borderId="0"/>
    <xf numFmtId="0" fontId="5" fillId="0" borderId="0"/>
  </cellStyleXfs>
  <cellXfs count="27">
    <xf numFmtId="0" fontId="0" fillId="0" borderId="0" pivotButton="0" quotePrefix="0" xfId="0"/>
    <xf numFmtId="0" fontId="6" fillId="2" borderId="0" applyAlignment="1" pivotButton="0" quotePrefix="0" xfId="0">
      <alignment vertical="center"/>
    </xf>
    <xf numFmtId="0" fontId="0" fillId="2" borderId="0" pivotButton="0" quotePrefix="0" xfId="0"/>
    <xf numFmtId="0" fontId="7" fillId="0" borderId="0" applyAlignment="1" pivotButton="0" quotePrefix="0" xfId="0">
      <alignment vertical="center"/>
    </xf>
    <xf numFmtId="0" fontId="8" fillId="8" borderId="2" applyAlignment="1" pivotButton="0" quotePrefix="0" xfId="0">
      <alignment vertical="center"/>
    </xf>
    <xf numFmtId="0" fontId="0" fillId="0" borderId="5" pivotButton="0" quotePrefix="0" xfId="0"/>
    <xf numFmtId="0" fontId="11" fillId="6" borderId="2" applyAlignment="1" pivotButton="0" quotePrefix="0" xfId="0">
      <alignment vertical="center" wrapText="1"/>
    </xf>
    <xf numFmtId="0" fontId="9" fillId="8" borderId="2" applyAlignment="1" pivotButton="0" quotePrefix="0" xfId="0">
      <alignment vertical="center"/>
    </xf>
    <xf numFmtId="0" fontId="0" fillId="0" borderId="4" pivotButton="0" quotePrefix="0" xfId="0"/>
    <xf numFmtId="0" fontId="0" fillId="0" borderId="8" pivotButton="0" quotePrefix="0" xfId="0"/>
    <xf numFmtId="0" fontId="0" fillId="0" borderId="9" pivotButton="0" quotePrefix="0" xfId="0"/>
    <xf numFmtId="0" fontId="10" fillId="8" borderId="2" applyAlignment="1" pivotButton="0" quotePrefix="0" xfId="0">
      <alignment vertical="center"/>
    </xf>
    <xf numFmtId="0" fontId="12" fillId="8" borderId="2" applyAlignment="1" pivotButton="0" quotePrefix="0" xfId="0">
      <alignment vertical="center" wrapText="1"/>
    </xf>
    <xf numFmtId="0" fontId="13" fillId="0" borderId="0" applyAlignment="1" pivotButton="0" quotePrefix="0" xfId="0">
      <alignment vertical="center"/>
    </xf>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10" fillId="0" borderId="0" applyAlignment="1" pivotButton="0" quotePrefix="0" xfId="0">
      <alignment vertical="center" wrapText="1"/>
    </xf>
    <xf numFmtId="0" fontId="3" fillId="3" borderId="1" applyAlignment="1" pivotButton="0" quotePrefix="0" xfId="0">
      <alignment vertical="top" wrapText="1"/>
    </xf>
    <xf numFmtId="0" fontId="5" fillId="0" borderId="0" pivotButton="0" quotePrefix="0" xfId="1"/>
    <xf numFmtId="0" fontId="3" fillId="0" borderId="1" applyAlignment="1" pivotButton="0" quotePrefix="0" xfId="0">
      <alignment vertical="top" wrapText="1"/>
    </xf>
    <xf numFmtId="0" fontId="4" fillId="4"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2" fillId="8" borderId="1" applyAlignment="1" pivotButton="0" quotePrefix="0" xfId="0">
      <alignment vertical="top" wrapText="1"/>
    </xf>
  </cellXfs>
  <cellStyles count="2">
    <cellStyle name="Normal" xfId="0" builtinId="0" hidden="0"/>
    <cellStyle name="Hyperlink" xfId="1" builtinId="8" hidden="0"/>
  </cellStyles>
  <dxfs count="5">
    <dxf>
      <fill>
        <patternFill patternType="solid">
          <fgColor rgb="00D9EAD3"/>
        </patternFill>
      </fill>
    </dxf>
    <dxf>
      <fill>
        <patternFill patternType="solid">
          <fgColor rgb="00FFF2CC"/>
        </patternFill>
      </fill>
    </dxf>
    <dxf>
      <fill>
        <patternFill patternType="solid">
          <fgColor rgb="00FFFFFF"/>
        </patternFill>
      </fill>
    </dxf>
    <dxf>
      <fill>
        <patternFill patternType="solid">
          <fgColor rgb="00F8D7DA"/>
        </patternFill>
      </fill>
    </dxf>
    <dxf>
      <fill>
        <patternFill patternType="solid">
          <fgColor rgb="00FCE5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Merge Workspace'!A3" TargetMode="External" Id="rId1" /><Relationship Type="http://schemas.openxmlformats.org/officeDocument/2006/relationships/hyperlink" Target="#'Merge Workspace'!A5" TargetMode="External" Id="rId2" /><Relationship Type="http://schemas.openxmlformats.org/officeDocument/2006/relationships/hyperlink" Target="#'Merge Workspace'!A7" TargetMode="External" Id="rId3" /><Relationship Type="http://schemas.openxmlformats.org/officeDocument/2006/relationships/hyperlink" Target="#'Merge Workspace'!A15" TargetMode="External" Id="rId4" /><Relationship Type="http://schemas.openxmlformats.org/officeDocument/2006/relationships/hyperlink" Target="#'Merge Workspace'!A17" TargetMode="External" Id="rId5" /><Relationship Type="http://schemas.openxmlformats.org/officeDocument/2006/relationships/hyperlink" Target="#'Merge Workspace'!A9" TargetMode="External" Id="rId6" /><Relationship Type="http://schemas.openxmlformats.org/officeDocument/2006/relationships/hyperlink" Target="#'Merge Workspace'!A19" TargetMode="External" Id="rId7" /><Relationship Type="http://schemas.openxmlformats.org/officeDocument/2006/relationships/hyperlink" Target="#'Merge Workspace'!A11" TargetMode="External" Id="rId8" /><Relationship Type="http://schemas.openxmlformats.org/officeDocument/2006/relationships/hyperlink" Target="#'Merge Workspace'!A21" TargetMode="External" Id="rId9" /><Relationship Type="http://schemas.openxmlformats.org/officeDocument/2006/relationships/hyperlink" Target="#'Merge Workspace'!A23" TargetMode="External" Id="rId10" /><Relationship Type="http://schemas.openxmlformats.org/officeDocument/2006/relationships/hyperlink" Target="#'Merge Workspace'!A13" TargetMode="External" Id="rId11" /><Relationship Type="http://schemas.openxmlformats.org/officeDocument/2006/relationships/hyperlink" Target="#'Merge Workspace'!A25" TargetMode="External" Id="rId12" /><Relationship Type="http://schemas.openxmlformats.org/officeDocument/2006/relationships/hyperlink" Target="#'Merge Workspace'!A30" TargetMode="External" Id="rId13" /><Relationship Type="http://schemas.openxmlformats.org/officeDocument/2006/relationships/hyperlink" Target="#'Merge Workspace'!A34" TargetMode="External" Id="rId14" /><Relationship Type="http://schemas.openxmlformats.org/officeDocument/2006/relationships/hyperlink" Target="#'Merge Workspace'!A27" TargetMode="External" Id="rId15" /><Relationship Type="http://schemas.openxmlformats.org/officeDocument/2006/relationships/hyperlink" Target="#'Merge Workspace'!A32" TargetMode="External" Id="rId16" /><Relationship Type="http://schemas.openxmlformats.org/officeDocument/2006/relationships/hyperlink" Target="#'Merge Workspace'!A38" TargetMode="External" Id="rId17" /><Relationship Type="http://schemas.openxmlformats.org/officeDocument/2006/relationships/hyperlink" Target="#'Merge Workspace'!A36" TargetMode="External" Id="rId18" /><Relationship Type="http://schemas.openxmlformats.org/officeDocument/2006/relationships/hyperlink" Target="#'Merge Workspace'!A40" TargetMode="External" Id="rId19" /><Relationship Type="http://schemas.openxmlformats.org/officeDocument/2006/relationships/hyperlink" Target="#'Merge Workspace'!A44" TargetMode="External" Id="rId20" /><Relationship Type="http://schemas.openxmlformats.org/officeDocument/2006/relationships/hyperlink" Target="#'Merge Workspace'!A46" TargetMode="External" Id="rId21" /><Relationship Type="http://schemas.openxmlformats.org/officeDocument/2006/relationships/hyperlink" Target="#'Merge Workspace'!A42" TargetMode="External" Id="rId22" /></Relationships>
</file>

<file path=xl/worksheets/_rels/sheet5.xml.rels><Relationships xmlns="http://schemas.openxmlformats.org/package/2006/relationships"><Relationship Type="http://schemas.openxmlformats.org/officeDocument/2006/relationships/hyperlink" Target="#'Resistor Detail'!A2" TargetMode="External" Id="rId1" /><Relationship Type="http://schemas.openxmlformats.org/officeDocument/2006/relationships/hyperlink" Target="#'Resistor Detail'!A8" TargetMode="External" Id="rId2" /><Relationship Type="http://schemas.openxmlformats.org/officeDocument/2006/relationships/hyperlink" Target="#'Resistor Detail'!A16" TargetMode="External" Id="rId3" /><Relationship Type="http://schemas.openxmlformats.org/officeDocument/2006/relationships/hyperlink" Target="#'Resistor Detail'!A26" TargetMode="External" Id="rId4" /><Relationship Type="http://schemas.openxmlformats.org/officeDocument/2006/relationships/hyperlink" Target="#'Resistor Detail'!A32" TargetMode="External" Id="rId5" /><Relationship Type="http://schemas.openxmlformats.org/officeDocument/2006/relationships/hyperlink" Target="#'Resistor Detail'!A38" TargetMode="External" Id="rId6" /><Relationship Type="http://schemas.openxmlformats.org/officeDocument/2006/relationships/hyperlink" Target="#'Resistor Detail'!A46" TargetMode="External" Id="rId7" /><Relationship Type="http://schemas.openxmlformats.org/officeDocument/2006/relationships/hyperlink" Target="#'Resistor Detail'!A52" TargetMode="External" Id="rId8" /><Relationship Type="http://schemas.openxmlformats.org/officeDocument/2006/relationships/hyperlink" Target="#'Resistor Detail'!A60" TargetMode="External" Id="rId9" /><Relationship Type="http://schemas.openxmlformats.org/officeDocument/2006/relationships/hyperlink" Target="#'Resistor Detail'!A66" TargetMode="External" Id="rId10" /><Relationship Type="http://schemas.openxmlformats.org/officeDocument/2006/relationships/hyperlink" Target="#'Resistor Detail'!A72" TargetMode="External" Id="rId11" /><Relationship Type="http://schemas.openxmlformats.org/officeDocument/2006/relationships/hyperlink" Target="#'Resistor Detail'!A78" TargetMode="External" Id="rId12" /><Relationship Type="http://schemas.openxmlformats.org/officeDocument/2006/relationships/hyperlink" Target="#'Resistor Detail'!A84" TargetMode="External" Id="rId13" /><Relationship Type="http://schemas.openxmlformats.org/officeDocument/2006/relationships/hyperlink" Target="#'Resistor Detail'!A90" TargetMode="External" Id="rId14" /><Relationship Type="http://schemas.openxmlformats.org/officeDocument/2006/relationships/hyperlink" Target="#'Resistor Detail'!A96" TargetMode="External" Id="rId15" /><Relationship Type="http://schemas.openxmlformats.org/officeDocument/2006/relationships/hyperlink" Target="#'Resistor Detail'!A102" TargetMode="External" Id="rId16" /><Relationship Type="http://schemas.openxmlformats.org/officeDocument/2006/relationships/hyperlink" Target="#'Resistor Detail'!A108" TargetMode="External" Id="rId17" /><Relationship Type="http://schemas.openxmlformats.org/officeDocument/2006/relationships/hyperlink" Target="#'Resistor Detail'!A114" TargetMode="External" Id="rId18" /></Relationships>
</file>

<file path=xl/worksheets/sheet1.xml><?xml version="1.0" encoding="utf-8"?>
<worksheet xmlns="http://schemas.openxmlformats.org/spreadsheetml/2006/main">
  <sheetPr>
    <outlinePr summaryBelow="1" summaryRight="1"/>
    <pageSetUpPr/>
  </sheetPr>
  <dimension ref="A1:H44"/>
  <sheetViews>
    <sheetView showGridLines="0" zoomScale="90" workbookViewId="0">
      <pane ySplit="16" topLeftCell="A17" activePane="bottomLeft" state="frozen"/>
      <selection pane="bottomLeft" activeCell="A1" sqref="A1"/>
    </sheetView>
  </sheetViews>
  <sheetFormatPr baseColWidth="8" defaultRowHeight="15"/>
  <cols>
    <col width="18" customWidth="1" min="1" max="1"/>
    <col width="18" customWidth="1" min="2" max="2"/>
    <col width="18" customWidth="1" min="3" max="3"/>
    <col width="24" customWidth="1" min="4" max="4"/>
    <col width="24" customWidth="1" min="5" max="5"/>
    <col width="12" customWidth="1" min="6" max="6"/>
    <col width="18" customWidth="1" min="7" max="7"/>
    <col width="18" customWidth="1" min="8" max="8"/>
  </cols>
  <sheetData>
    <row r="1">
      <c r="A1" s="1" t="inlineStr">
        <is>
          <t>BOM Intelligence Overview</t>
        </is>
      </c>
      <c r="B1" s="2" t="n"/>
      <c r="C1" s="2" t="n"/>
      <c r="D1" s="2" t="n"/>
      <c r="E1" s="2" t="n"/>
      <c r="F1" s="2" t="n"/>
      <c r="G1" s="2" t="n"/>
      <c r="H1" s="2" t="n"/>
    </row>
    <row r="2">
      <c r="A2" s="2" t="n"/>
      <c r="B2" s="2" t="n"/>
      <c r="C2" s="2" t="n"/>
      <c r="D2" s="2" t="n"/>
      <c r="E2" s="2" t="n"/>
      <c r="F2" s="2" t="n"/>
      <c r="G2" s="2" t="n"/>
      <c r="H2" s="2" t="n"/>
    </row>
    <row r="3">
      <c r="A3" s="3" t="inlineStr">
        <is>
          <t>Global health check: Dashboard shows scope; Summary queues review; RD records BOM Action in Merge Workspace.</t>
        </is>
      </c>
    </row>
    <row r="5">
      <c r="A5" s="4" t="inlineStr">
        <is>
          <t>Project</t>
        </is>
      </c>
      <c r="B5" s="5" t="n"/>
      <c r="C5" s="4" t="inlineStr">
        <is>
          <t>Total PN</t>
        </is>
      </c>
      <c r="D5" s="5" t="n"/>
      <c r="E5" s="4" t="inlineStr">
        <is>
          <t>Capacitor PN</t>
        </is>
      </c>
      <c r="F5" s="5" t="n"/>
      <c r="G5" s="6" t="inlineStr">
        <is>
          <t>Estimated Benefit
If all accepted, reduce up to 4 redundant PN(s).</t>
        </is>
      </c>
    </row>
    <row r="6">
      <c r="A6" s="7" t="inlineStr">
        <is>
          <t>P303NV</t>
        </is>
      </c>
      <c r="B6" s="8" t="n"/>
      <c r="C6" s="7" t="n">
        <v>907</v>
      </c>
      <c r="D6" s="8" t="n"/>
      <c r="E6" s="7" t="n">
        <v>322</v>
      </c>
      <c r="F6" s="8" t="n"/>
    </row>
    <row r="7">
      <c r="A7" s="9" t="n"/>
      <c r="B7" s="10" t="n"/>
      <c r="C7" s="9" t="n"/>
      <c r="D7" s="10" t="n"/>
      <c r="E7" s="9" t="n"/>
      <c r="F7" s="10" t="n"/>
    </row>
    <row r="8">
      <c r="A8" s="11" t="inlineStr">
        <is>
          <t>Source BOM</t>
        </is>
      </c>
      <c r="B8" s="5" t="n"/>
      <c r="C8" s="11" t="inlineStr">
        <is>
          <t>909.0 BOM lines</t>
        </is>
      </c>
      <c r="D8" s="5" t="n"/>
      <c r="E8" s="11" t="inlineStr">
        <is>
          <t>Unique capacitor PNs</t>
        </is>
      </c>
      <c r="F8" s="5" t="n"/>
    </row>
    <row r="9">
      <c r="A9" s="4" t="inlineStr">
        <is>
          <t>Resistor PN</t>
        </is>
      </c>
      <c r="B9" s="5" t="n"/>
      <c r="C9" s="4" t="inlineStr">
        <is>
          <t>Capacitor Review</t>
        </is>
      </c>
      <c r="D9" s="5" t="n"/>
      <c r="E9" s="4" t="inlineStr">
        <is>
          <t>Resistor Review</t>
        </is>
      </c>
      <c r="F9" s="5" t="n"/>
      <c r="G9" s="12" t="inlineStr">
        <is>
          <t>AI Review Summary
Found 22 capacitor group(s) for RD review.
Found 18 resistor group(s) for RD review.</t>
        </is>
      </c>
    </row>
    <row r="10">
      <c r="A10" s="7" t="n">
        <v>403</v>
      </c>
      <c r="B10" s="8" t="n"/>
      <c r="C10" s="7" t="n">
        <v>22</v>
      </c>
      <c r="D10" s="8" t="n"/>
      <c r="E10" s="7" t="n">
        <v>18</v>
      </c>
      <c r="F10" s="8" t="n"/>
    </row>
    <row r="11">
      <c r="A11" s="9" t="n"/>
      <c r="B11" s="10" t="n"/>
      <c r="C11" s="9" t="n"/>
      <c r="D11" s="10" t="n"/>
      <c r="E11" s="9" t="n"/>
      <c r="F11" s="10" t="n"/>
    </row>
    <row r="12">
      <c r="A12" s="11" t="inlineStr">
        <is>
          <t>Unique resistor PNs</t>
        </is>
      </c>
      <c r="B12" s="5" t="n"/>
      <c r="C12" s="11" t="inlineStr">
        <is>
          <t>similarity groups</t>
        </is>
      </c>
      <c r="D12" s="5" t="n"/>
      <c r="E12" s="11" t="inlineStr">
        <is>
          <t>similarity groups</t>
        </is>
      </c>
      <c r="F12" s="5" t="n"/>
    </row>
    <row r="15">
      <c r="A15" s="13" t="inlineStr">
        <is>
          <t>★★★★★ Priority 1</t>
        </is>
      </c>
    </row>
    <row r="16">
      <c r="A16" s="14" t="inlineStr">
        <is>
          <t>Spec</t>
        </is>
      </c>
      <c r="B16" s="14" t="inlineStr">
        <is>
          <t>Merge PN</t>
        </is>
      </c>
      <c r="C16" s="14" t="inlineStr">
        <is>
          <t>Merge Qty</t>
        </is>
      </c>
      <c r="D16" s="14" t="inlineStr">
        <is>
          <t>Keep PN</t>
        </is>
      </c>
      <c r="E16" s="14" t="inlineStr">
        <is>
          <t>Keep Qty</t>
        </is>
      </c>
      <c r="F16" s="14" t="inlineStr">
        <is>
          <t>Difference</t>
        </is>
      </c>
      <c r="G16" s="14" t="inlineStr">
        <is>
          <t>Difficulty</t>
        </is>
      </c>
      <c r="H16" s="14" t="inlineStr">
        <is>
          <t>Action</t>
        </is>
      </c>
    </row>
    <row r="17">
      <c r="A17" s="15" t="inlineStr">
        <is>
          <t>100pF 50V NP0 5% 0402</t>
        </is>
      </c>
      <c r="B17" s="15" t="inlineStr">
        <is>
          <t>11203-0042P000</t>
        </is>
      </c>
      <c r="C17" s="15" t="n">
        <v>1</v>
      </c>
      <c r="D17" s="15" t="inlineStr">
        <is>
          <t>11203-0042Q000</t>
        </is>
      </c>
      <c r="E17" s="15" t="n">
        <v>4</v>
      </c>
      <c r="F17" s="15" t="inlineStr">
        <is>
          <t>🟢 Same spec</t>
        </is>
      </c>
      <c r="G17" s="15" t="inlineStr">
        <is>
          <t>★★★★★ Easy</t>
        </is>
      </c>
      <c r="H17" s="15" t="inlineStr">
        <is>
          <t>Merge 11203-0042P000 -&gt; 11203-0042Q000</t>
        </is>
      </c>
    </row>
    <row r="18">
      <c r="A18" s="16" t="inlineStr">
        <is>
          <t>100nF 16V X7R 10% 0402</t>
        </is>
      </c>
      <c r="B18" s="16" t="inlineStr">
        <is>
          <t>11G232110411360</t>
        </is>
      </c>
      <c r="C18" s="16" t="n">
        <v>1</v>
      </c>
      <c r="D18" s="16" t="inlineStr">
        <is>
          <t>11203-0211Q000</t>
        </is>
      </c>
      <c r="E18" s="16" t="n">
        <v>69</v>
      </c>
      <c r="F18" s="16" t="inlineStr">
        <is>
          <t>🟢 Same spec</t>
        </is>
      </c>
      <c r="G18" s="16" t="inlineStr">
        <is>
          <t>★★★★★ Easy</t>
        </is>
      </c>
      <c r="H18" s="16" t="inlineStr">
        <is>
          <t>Merge 11G232110411360 -&gt; 11203-0211Q000</t>
        </is>
      </c>
    </row>
    <row r="19">
      <c r="A19" s="15" t="inlineStr">
        <is>
          <t>220nF 25V X7R 10% 0402</t>
        </is>
      </c>
      <c r="B19" s="15" t="inlineStr">
        <is>
          <t>11203-01763000</t>
        </is>
      </c>
      <c r="C19" s="15" t="n">
        <v>1</v>
      </c>
      <c r="D19" s="15" t="inlineStr">
        <is>
          <t>11203-0176H000</t>
        </is>
      </c>
      <c r="E19" s="15" t="n">
        <v>2</v>
      </c>
      <c r="F19" s="15" t="inlineStr">
        <is>
          <t>🟢 Vendor</t>
        </is>
      </c>
      <c r="G19" s="15" t="inlineStr">
        <is>
          <t>★★★★★ Easy</t>
        </is>
      </c>
      <c r="H19" s="15" t="inlineStr">
        <is>
          <t>Merge 11203-01763000 -&gt; 11203-0176H000</t>
        </is>
      </c>
    </row>
    <row r="44">
      <c r="A44" s="17" t="inlineStr">
        <is>
          <t>Generated: 2026-07-24T08:28:28+00:00  |  Rules: E:\GitHub\BOM_Normalization_Tool\config\default_rules.json; runtime near-value override  |  Platform: 2.0.0</t>
        </is>
      </c>
    </row>
  </sheetData>
  <mergeCells count="24">
    <mergeCell ref="E12:F12"/>
    <mergeCell ref="E6:F7"/>
    <mergeCell ref="A15:H15"/>
    <mergeCell ref="C5:D5"/>
    <mergeCell ref="E5:F5"/>
    <mergeCell ref="G5:H8"/>
    <mergeCell ref="E8:F8"/>
    <mergeCell ref="A10:B11"/>
    <mergeCell ref="C9:D9"/>
    <mergeCell ref="E9:F9"/>
    <mergeCell ref="A12:B12"/>
    <mergeCell ref="G9:H12"/>
    <mergeCell ref="C12:D12"/>
    <mergeCell ref="A3:H3"/>
    <mergeCell ref="C6:D7"/>
    <mergeCell ref="A5:B5"/>
    <mergeCell ref="A1:H2"/>
    <mergeCell ref="A8:B8"/>
    <mergeCell ref="C8:D8"/>
    <mergeCell ref="C10:D11"/>
    <mergeCell ref="E10:F11"/>
    <mergeCell ref="A6:B7"/>
    <mergeCell ref="A44:H44"/>
    <mergeCell ref="A9:B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showGridLines="0" workbookViewId="0">
      <pane ySplit="1" topLeftCell="A2" activePane="bottomLeft" state="frozen"/>
      <selection pane="bottomLeft" activeCell="A1" sqref="A1"/>
    </sheetView>
  </sheetViews>
  <sheetFormatPr baseColWidth="8" defaultRowHeight="15"/>
  <cols>
    <col width="11" customWidth="1" min="1" max="1"/>
    <col width="18" customWidth="1" min="2" max="2"/>
    <col width="13" customWidth="1" min="3" max="3"/>
    <col width="24" customWidth="1" min="4" max="4"/>
    <col width="17" customWidth="1" min="5" max="5"/>
    <col width="11" customWidth="1" min="6" max="6"/>
    <col width="16" customWidth="1" min="7" max="7"/>
    <col width="11" customWidth="1" min="8" max="8"/>
    <col width="11" customWidth="1" min="9" max="9"/>
    <col width="17" customWidth="1" min="10" max="10"/>
    <col width="48" customWidth="1" min="11" max="11"/>
    <col width="41" customWidth="1" min="12" max="12"/>
    <col width="11" customWidth="1" min="13" max="13"/>
  </cols>
  <sheetData>
    <row r="1" ht="30" customHeight="1">
      <c r="A1" s="14" t="inlineStr">
        <is>
          <t>Priority</t>
        </is>
      </c>
      <c r="B1" s="14" t="inlineStr">
        <is>
          <t>Merge Difficulty</t>
        </is>
      </c>
      <c r="C1" s="14" t="inlineStr">
        <is>
          <t>Difference</t>
        </is>
      </c>
      <c r="D1" s="14" t="inlineStr">
        <is>
          <t>Spec</t>
        </is>
      </c>
      <c r="E1" s="14" t="inlineStr">
        <is>
          <t>Merge PN</t>
        </is>
      </c>
      <c r="F1" s="14" t="inlineStr">
        <is>
          <t>Merge Qty</t>
        </is>
      </c>
      <c r="G1" s="14" t="inlineStr">
        <is>
          <t>Keep PN</t>
        </is>
      </c>
      <c r="H1" s="14" t="inlineStr">
        <is>
          <t>Keep Qty</t>
        </is>
      </c>
      <c r="I1" s="14" t="inlineStr">
        <is>
          <t>BOM Qty</t>
        </is>
      </c>
      <c r="J1" s="14" t="inlineStr">
        <is>
          <t>Reference Count</t>
        </is>
      </c>
      <c r="K1" s="14" t="inlineStr">
        <is>
          <t>Reason</t>
        </is>
      </c>
      <c r="L1" s="14" t="inlineStr">
        <is>
          <t>Action</t>
        </is>
      </c>
      <c r="M1" s="14" t="inlineStr">
        <is>
          <t>Score</t>
        </is>
      </c>
    </row>
    <row r="2">
      <c r="A2" s="16" t="inlineStr">
        <is>
          <t>★★★★★</t>
        </is>
      </c>
      <c r="B2" s="16" t="inlineStr">
        <is>
          <t>★★★★★ Easy</t>
        </is>
      </c>
      <c r="C2" s="16" t="inlineStr">
        <is>
          <t>🟢 Same spec</t>
        </is>
      </c>
      <c r="D2" s="16" t="inlineStr">
        <is>
          <t>100pF 50V NP0 5% 0402</t>
        </is>
      </c>
      <c r="E2" s="16" t="inlineStr">
        <is>
          <t>11203-0042P000</t>
        </is>
      </c>
      <c r="F2" s="16" t="n">
        <v>1</v>
      </c>
      <c r="G2" s="16" t="inlineStr">
        <is>
          <t>11203-0042Q000</t>
        </is>
      </c>
      <c r="H2" s="16" t="n">
        <v>4</v>
      </c>
      <c r="I2" s="16" t="n">
        <v>5</v>
      </c>
      <c r="J2" s="16" t="n">
        <v>1</v>
      </c>
      <c r="K2" s="16" t="inlineStr">
        <is>
          <t>Exact same specification; target PN already has 4 pcs</t>
        </is>
      </c>
      <c r="L2" s="16" t="inlineStr">
        <is>
          <t>Merge 11203-0042P000 -&gt; 11203-0042Q000</t>
        </is>
      </c>
      <c r="M2" s="16" t="n">
        <v>100</v>
      </c>
    </row>
    <row r="3">
      <c r="A3" s="15" t="inlineStr">
        <is>
          <t>★★★★★</t>
        </is>
      </c>
      <c r="B3" s="15" t="inlineStr">
        <is>
          <t>★★★★★ Easy</t>
        </is>
      </c>
      <c r="C3" s="15" t="inlineStr">
        <is>
          <t>🟢 Same spec</t>
        </is>
      </c>
      <c r="D3" s="15" t="inlineStr">
        <is>
          <t>100nF 16V X7R 10% 0402</t>
        </is>
      </c>
      <c r="E3" s="15" t="inlineStr">
        <is>
          <t>11G232110411360</t>
        </is>
      </c>
      <c r="F3" s="15" t="n">
        <v>1</v>
      </c>
      <c r="G3" s="15" t="inlineStr">
        <is>
          <t>11203-0211Q000</t>
        </is>
      </c>
      <c r="H3" s="15" t="n">
        <v>69</v>
      </c>
      <c r="I3" s="15" t="n">
        <v>70</v>
      </c>
      <c r="J3" s="15" t="n">
        <v>1</v>
      </c>
      <c r="K3" s="15" t="inlineStr">
        <is>
          <t>Exact same specification; target PN already has 69 pcs</t>
        </is>
      </c>
      <c r="L3" s="15" t="inlineStr">
        <is>
          <t>Merge 11G232110411360 -&gt; 11203-0211Q000</t>
        </is>
      </c>
      <c r="M3" s="15" t="n">
        <v>100</v>
      </c>
    </row>
    <row r="4">
      <c r="A4" s="16" t="inlineStr">
        <is>
          <t>★★★★★</t>
        </is>
      </c>
      <c r="B4" s="16" t="inlineStr">
        <is>
          <t>★★★★★ Easy</t>
        </is>
      </c>
      <c r="C4" s="16" t="inlineStr">
        <is>
          <t>🟢 Vendor</t>
        </is>
      </c>
      <c r="D4" s="16" t="inlineStr">
        <is>
          <t>220nF 25V X7R 10% 0402</t>
        </is>
      </c>
      <c r="E4" s="16" t="inlineStr">
        <is>
          <t>11203-01763000</t>
        </is>
      </c>
      <c r="F4" s="16" t="n">
        <v>1</v>
      </c>
      <c r="G4" s="16" t="inlineStr">
        <is>
          <t>11203-0176H000</t>
        </is>
      </c>
      <c r="H4" s="16" t="n">
        <v>2</v>
      </c>
      <c r="I4" s="16" t="n">
        <v>3</v>
      </c>
      <c r="J4" s="16" t="n">
        <v>1</v>
      </c>
      <c r="K4" s="16" t="inlineStr">
        <is>
          <t>Only vendor is different; target PN already has 2 pcs</t>
        </is>
      </c>
      <c r="L4" s="16" t="inlineStr">
        <is>
          <t>Merge 11203-01763000 -&gt; 11203-0176H000</t>
        </is>
      </c>
      <c r="M4" s="16" t="n">
        <v>98</v>
      </c>
    </row>
    <row r="5">
      <c r="A5" s="15" t="inlineStr">
        <is>
          <t>★★★★☆</t>
        </is>
      </c>
      <c r="B5" s="15" t="inlineStr">
        <is>
          <t>★★★★★ Easy</t>
        </is>
      </c>
      <c r="C5" s="15" t="inlineStr">
        <is>
          <t>🟢 Vendor</t>
        </is>
      </c>
      <c r="D5" s="15" t="inlineStr">
        <is>
          <t>100nF 16V X5R 10% 0201</t>
        </is>
      </c>
      <c r="E5" s="15" t="inlineStr">
        <is>
          <t>11202-0027F000</t>
        </is>
      </c>
      <c r="F5" s="15" t="n">
        <v>8</v>
      </c>
      <c r="G5" s="15" t="inlineStr">
        <is>
          <t>11202-0027Q000</t>
        </is>
      </c>
      <c r="H5" s="15" t="n">
        <v>8</v>
      </c>
      <c r="I5" s="15" t="n">
        <v>16</v>
      </c>
      <c r="J5" s="15" t="n">
        <v>8</v>
      </c>
      <c r="K5" s="15" t="inlineStr">
        <is>
          <t>Only vendor is different; target PN already has 8 pcs</t>
        </is>
      </c>
      <c r="L5" s="15" t="inlineStr">
        <is>
          <t>Merge 11202-0027F000 -&gt; 11202-0027Q000</t>
        </is>
      </c>
      <c r="M5" s="15" t="n">
        <v>89</v>
      </c>
    </row>
  </sheetData>
  <autoFilter ref="A1:M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showGridLines="0" workbookViewId="0">
      <pane ySplit="1" topLeftCell="A2" activePane="bottomLeft" state="frozen"/>
      <selection pane="bottomLeft" activeCell="A1" sqref="A1"/>
    </sheetView>
  </sheetViews>
  <sheetFormatPr baseColWidth="8" defaultRowHeight="15"/>
  <cols>
    <col width="12" customWidth="1" min="1" max="1"/>
    <col width="16" customWidth="1" min="2" max="2"/>
    <col width="10" customWidth="1" min="3" max="3"/>
    <col width="10" customWidth="1" min="4" max="4"/>
    <col width="10" customWidth="1" min="5" max="5"/>
    <col width="12" customWidth="1" min="6" max="6"/>
    <col width="32" customWidth="1" min="7" max="7"/>
    <col width="18" customWidth="1" min="8" max="8"/>
    <col width="10" customWidth="1" min="9" max="9"/>
  </cols>
  <sheetData>
    <row r="1" ht="30" customHeight="1">
      <c r="A1" s="14" t="inlineStr">
        <is>
          <t>Merge ID</t>
        </is>
      </c>
      <c r="B1" s="14" t="inlineStr">
        <is>
          <t>Review Item</t>
        </is>
      </c>
      <c r="C1" s="14" t="inlineStr">
        <is>
          <t>BOM Qty</t>
        </is>
      </c>
      <c r="D1" s="14" t="inlineStr">
        <is>
          <t>Keep Qty</t>
        </is>
      </c>
      <c r="E1" s="14" t="inlineStr">
        <is>
          <t>Merge Qty</t>
        </is>
      </c>
      <c r="F1" s="14" t="inlineStr">
        <is>
          <t>Priority</t>
        </is>
      </c>
      <c r="G1" s="14" t="inlineStr">
        <is>
          <t>Why Review</t>
        </is>
      </c>
      <c r="H1" s="14" t="inlineStr">
        <is>
          <t>BOM Action</t>
        </is>
      </c>
      <c r="I1" s="14" t="inlineStr">
        <is>
          <t>Detail</t>
        </is>
      </c>
    </row>
    <row r="2">
      <c r="A2" s="16" t="inlineStr">
        <is>
          <t>M-001</t>
        </is>
      </c>
      <c r="B2" s="18" t="inlineStr">
        <is>
          <t>100nF | 16V X7R 10% 0402</t>
        </is>
      </c>
      <c r="C2" s="16" t="n">
        <v>70</v>
      </c>
      <c r="D2" s="16" t="n">
        <v>69</v>
      </c>
      <c r="E2" s="16" t="n">
        <v>1</v>
      </c>
      <c r="F2" s="16" t="inlineStr">
        <is>
          <t>★★★★★</t>
        </is>
      </c>
      <c r="G2" s="16" t="inlineStr">
        <is>
          <t>Same Spec</t>
        </is>
      </c>
      <c r="H2" s="16">
        <f>IFERROR(IF(VLOOKUP($A2,'Merge Workspace'!$A:$L,12,FALSE)="","Pending",VLOOKUP($A2,'Merge Workspace'!$A:$L,12,FALSE)),"Pending")</f>
        <v/>
      </c>
      <c r="I2" s="19" t="inlineStr">
        <is>
          <t>Open</t>
        </is>
      </c>
    </row>
    <row r="3">
      <c r="A3" s="15" t="inlineStr">
        <is>
          <t>M-002</t>
        </is>
      </c>
      <c r="B3" s="20" t="inlineStr">
        <is>
          <t>100pF | 50V NP0 5% 0402</t>
        </is>
      </c>
      <c r="C3" s="15" t="n">
        <v>5</v>
      </c>
      <c r="D3" s="15" t="n">
        <v>4</v>
      </c>
      <c r="E3" s="15" t="n">
        <v>1</v>
      </c>
      <c r="F3" s="15" t="inlineStr">
        <is>
          <t>★★★★★</t>
        </is>
      </c>
      <c r="G3" s="15" t="inlineStr">
        <is>
          <t>Same Spec</t>
        </is>
      </c>
      <c r="H3" s="15">
        <f>IFERROR(IF(VLOOKUP($A3,'Merge Workspace'!$A:$L,12,FALSE)="","Pending",VLOOKUP($A3,'Merge Workspace'!$A:$L,12,FALSE)),"Pending")</f>
        <v/>
      </c>
      <c r="I3" s="19" t="inlineStr">
        <is>
          <t>Open</t>
        </is>
      </c>
    </row>
    <row r="4">
      <c r="A4" s="16" t="inlineStr">
        <is>
          <t>M-003</t>
        </is>
      </c>
      <c r="B4" s="18" t="inlineStr">
        <is>
          <t>220nF | 25V X7R 10% 0402</t>
        </is>
      </c>
      <c r="C4" s="16" t="n">
        <v>3</v>
      </c>
      <c r="D4" s="16" t="n">
        <v>2</v>
      </c>
      <c r="E4" s="16" t="n">
        <v>1</v>
      </c>
      <c r="F4" s="16" t="inlineStr">
        <is>
          <t>★★★★★</t>
        </is>
      </c>
      <c r="G4" s="16" t="inlineStr">
        <is>
          <t>Vendor Only</t>
        </is>
      </c>
      <c r="H4" s="16">
        <f>IFERROR(IF(VLOOKUP($A4,'Merge Workspace'!$A:$L,12,FALSE)="","Pending",VLOOKUP($A4,'Merge Workspace'!$A:$L,12,FALSE)),"Pending")</f>
        <v/>
      </c>
      <c r="I4" s="19" t="inlineStr">
        <is>
          <t>Open</t>
        </is>
      </c>
    </row>
    <row r="5">
      <c r="A5" s="15" t="inlineStr">
        <is>
          <t>M-007</t>
        </is>
      </c>
      <c r="B5" s="20" t="inlineStr">
        <is>
          <t>100nF | 0201⇄0402</t>
        </is>
      </c>
      <c r="C5" s="15" t="n">
        <v>37</v>
      </c>
      <c r="D5" s="15" t="n">
        <v>25</v>
      </c>
      <c r="E5" s="15" t="n">
        <v>12</v>
      </c>
      <c r="F5" s="15" t="inlineStr">
        <is>
          <t>★★★</t>
        </is>
      </c>
      <c r="G5" s="15" t="inlineStr">
        <is>
          <t>🟡 Package 0201 ➔ 0402</t>
        </is>
      </c>
      <c r="H5" s="15">
        <f>IFERROR(IF(VLOOKUP($A5,'Merge Workspace'!$A:$L,12,FALSE)="","Pending",VLOOKUP($A5,'Merge Workspace'!$A:$L,12,FALSE)),"Pending")</f>
        <v/>
      </c>
      <c r="I5" s="19" t="inlineStr">
        <is>
          <t>Open</t>
        </is>
      </c>
    </row>
    <row r="6">
      <c r="A6" s="16" t="inlineStr">
        <is>
          <t>M-008</t>
        </is>
      </c>
      <c r="B6" s="18" t="inlineStr">
        <is>
          <t>10uF | 0402⇄0603</t>
        </is>
      </c>
      <c r="C6" s="16" t="n">
        <v>46</v>
      </c>
      <c r="D6" s="16" t="n">
        <v>37</v>
      </c>
      <c r="E6" s="16" t="n">
        <v>9</v>
      </c>
      <c r="F6" s="16" t="inlineStr">
        <is>
          <t>★★★</t>
        </is>
      </c>
      <c r="G6" s="16" t="inlineStr">
        <is>
          <t>🟡 Package 0402 ➔ 0603</t>
        </is>
      </c>
      <c r="H6" s="16">
        <f>IFERROR(IF(VLOOKUP($A6,'Merge Workspace'!$A:$L,12,FALSE)="","Pending",VLOOKUP($A6,'Merge Workspace'!$A:$L,12,FALSE)),"Pending")</f>
        <v/>
      </c>
      <c r="I6" s="19" t="inlineStr">
        <is>
          <t>Open</t>
        </is>
      </c>
    </row>
    <row r="7">
      <c r="A7" s="15" t="inlineStr">
        <is>
          <t>M-004</t>
        </is>
      </c>
      <c r="B7" s="20" t="inlineStr">
        <is>
          <t>100nF | 16V X5R 10% 0201</t>
        </is>
      </c>
      <c r="C7" s="15" t="n">
        <v>16</v>
      </c>
      <c r="D7" s="15" t="n">
        <v>8</v>
      </c>
      <c r="E7" s="15" t="n">
        <v>8</v>
      </c>
      <c r="F7" s="15" t="inlineStr">
        <is>
          <t>★★★</t>
        </is>
      </c>
      <c r="G7" s="15" t="inlineStr">
        <is>
          <t>Vendor Only</t>
        </is>
      </c>
      <c r="H7" s="15">
        <f>IFERROR(IF(VLOOKUP($A7,'Merge Workspace'!$A:$L,12,FALSE)="","Pending",VLOOKUP($A7,'Merge Workspace'!$A:$L,12,FALSE)),"Pending")</f>
        <v/>
      </c>
      <c r="I7" s="19" t="inlineStr">
        <is>
          <t>Open</t>
        </is>
      </c>
    </row>
    <row r="8">
      <c r="A8" s="16" t="inlineStr">
        <is>
          <t>M-009</t>
        </is>
      </c>
      <c r="B8" s="18" t="inlineStr">
        <is>
          <t>10uF | 0402⇄0603</t>
        </is>
      </c>
      <c r="C8" s="16" t="n">
        <v>19</v>
      </c>
      <c r="D8" s="16" t="n">
        <v>12</v>
      </c>
      <c r="E8" s="16" t="n">
        <v>7</v>
      </c>
      <c r="F8" s="16" t="inlineStr">
        <is>
          <t>★★★</t>
        </is>
      </c>
      <c r="G8" s="16" t="inlineStr">
        <is>
          <t>🟡 Package 0402 ➔ 0603</t>
        </is>
      </c>
      <c r="H8" s="16">
        <f>IFERROR(IF(VLOOKUP($A8,'Merge Workspace'!$A:$L,12,FALSE)="","Pending",VLOOKUP($A8,'Merge Workspace'!$A:$L,12,FALSE)),"Pending")</f>
        <v/>
      </c>
      <c r="I8" s="19" t="inlineStr">
        <is>
          <t>Open</t>
        </is>
      </c>
    </row>
    <row r="9">
      <c r="A9" s="15" t="inlineStr">
        <is>
          <t>M-005</t>
        </is>
      </c>
      <c r="B9" s="20" t="inlineStr">
        <is>
          <t>100nF | 0402⇄0603</t>
        </is>
      </c>
      <c r="C9" s="15" t="n">
        <v>39</v>
      </c>
      <c r="D9" s="15" t="n">
        <v>34</v>
      </c>
      <c r="E9" s="15" t="n">
        <v>5</v>
      </c>
      <c r="F9" s="15" t="inlineStr">
        <is>
          <t>★★★</t>
        </is>
      </c>
      <c r="G9" s="15" t="inlineStr">
        <is>
          <t>🟡 Package 0603 ➔ 0402</t>
        </is>
      </c>
      <c r="H9" s="15">
        <f>IFERROR(IF(VLOOKUP($A9,'Merge Workspace'!$A:$L,12,FALSE)="","Pending",VLOOKUP($A9,'Merge Workspace'!$A:$L,12,FALSE)),"Pending")</f>
        <v/>
      </c>
      <c r="I9" s="19" t="inlineStr">
        <is>
          <t>Open</t>
        </is>
      </c>
    </row>
    <row r="10">
      <c r="A10" s="16" t="inlineStr">
        <is>
          <t>M-010</t>
        </is>
      </c>
      <c r="B10" s="18" t="inlineStr">
        <is>
          <t>2.2uF | 0402⇄0603</t>
        </is>
      </c>
      <c r="C10" s="16" t="n">
        <v>10</v>
      </c>
      <c r="D10" s="16" t="n">
        <v>5</v>
      </c>
      <c r="E10" s="16" t="n">
        <v>5</v>
      </c>
      <c r="F10" s="16" t="inlineStr">
        <is>
          <t>★★★</t>
        </is>
      </c>
      <c r="G10" s="16" t="inlineStr">
        <is>
          <t>🟡 Package 0402 ➔ 0603</t>
        </is>
      </c>
      <c r="H10" s="16">
        <f>IFERROR(IF(VLOOKUP($A10,'Merge Workspace'!$A:$L,12,FALSE)="","Pending",VLOOKUP($A10,'Merge Workspace'!$A:$L,12,FALSE)),"Pending")</f>
        <v/>
      </c>
      <c r="I10" s="19" t="inlineStr">
        <is>
          <t>Open</t>
        </is>
      </c>
    </row>
    <row r="11">
      <c r="A11" s="15" t="inlineStr">
        <is>
          <t>M-011</t>
        </is>
      </c>
      <c r="B11" s="20" t="inlineStr">
        <is>
          <t>2.2uF | 0201⇄0402</t>
        </is>
      </c>
      <c r="C11" s="15" t="n">
        <v>9</v>
      </c>
      <c r="D11" s="15" t="n">
        <v>7</v>
      </c>
      <c r="E11" s="15" t="n">
        <v>2</v>
      </c>
      <c r="F11" s="15" t="inlineStr">
        <is>
          <t>★★★</t>
        </is>
      </c>
      <c r="G11" s="15" t="inlineStr">
        <is>
          <t>🟡 Package 0201 ➔ 0402</t>
        </is>
      </c>
      <c r="H11" s="15">
        <f>IFERROR(IF(VLOOKUP($A11,'Merge Workspace'!$A:$L,12,FALSE)="","Pending",VLOOKUP($A11,'Merge Workspace'!$A:$L,12,FALSE)),"Pending")</f>
        <v/>
      </c>
      <c r="I11" s="19" t="inlineStr">
        <is>
          <t>Open</t>
        </is>
      </c>
    </row>
    <row r="12">
      <c r="A12" s="16" t="inlineStr">
        <is>
          <t>M-006</t>
        </is>
      </c>
      <c r="B12" s="18" t="inlineStr">
        <is>
          <t>100nF | 0402⇄0603</t>
        </is>
      </c>
      <c r="C12" s="16" t="n">
        <v>6</v>
      </c>
      <c r="D12" s="16" t="n">
        <v>4</v>
      </c>
      <c r="E12" s="16" t="n">
        <v>2</v>
      </c>
      <c r="F12" s="16" t="inlineStr">
        <is>
          <t>★★★</t>
        </is>
      </c>
      <c r="G12" s="16" t="inlineStr">
        <is>
          <t>🟡 Package 0603 ➔ 0402</t>
        </is>
      </c>
      <c r="H12" s="16">
        <f>IFERROR(IF(VLOOKUP($A12,'Merge Workspace'!$A:$L,12,FALSE)="","Pending",VLOOKUP($A12,'Merge Workspace'!$A:$L,12,FALSE)),"Pending")</f>
        <v/>
      </c>
      <c r="I12" s="19" t="inlineStr">
        <is>
          <t>Open</t>
        </is>
      </c>
    </row>
    <row r="13">
      <c r="A13" s="15" t="inlineStr">
        <is>
          <t>M-012</t>
        </is>
      </c>
      <c r="B13" s="20" t="inlineStr">
        <is>
          <t>330nF | 0201⇄0402</t>
        </is>
      </c>
      <c r="C13" s="15" t="n">
        <v>6</v>
      </c>
      <c r="D13" s="15" t="n">
        <v>4</v>
      </c>
      <c r="E13" s="15" t="n">
        <v>2</v>
      </c>
      <c r="F13" s="15" t="inlineStr">
        <is>
          <t>★★★</t>
        </is>
      </c>
      <c r="G13" s="15" t="inlineStr">
        <is>
          <t>🟡 Package 0402 ➔ 0201</t>
        </is>
      </c>
      <c r="H13" s="15">
        <f>IFERROR(IF(VLOOKUP($A13,'Merge Workspace'!$A:$L,12,FALSE)="","Pending",VLOOKUP($A13,'Merge Workspace'!$A:$L,12,FALSE)),"Pending")</f>
        <v/>
      </c>
      <c r="I13" s="19" t="inlineStr">
        <is>
          <t>Open</t>
        </is>
      </c>
    </row>
    <row r="14">
      <c r="A14" s="16" t="inlineStr">
        <is>
          <t>M-014</t>
        </is>
      </c>
      <c r="B14" s="18" t="inlineStr">
        <is>
          <t>1uF | 16V⇄6.3V⇄50V</t>
        </is>
      </c>
      <c r="C14" s="16" t="n">
        <v>17</v>
      </c>
      <c r="D14" s="16" t="n">
        <v>11</v>
      </c>
      <c r="E14" s="16" t="n">
        <v>6</v>
      </c>
      <c r="F14" s="16" t="inlineStr">
        <is>
          <t>★★</t>
        </is>
      </c>
      <c r="G14" s="16" t="inlineStr">
        <is>
          <t>🟠 Voltage 16V, 50V ➔ 6.3V</t>
        </is>
      </c>
      <c r="H14" s="16">
        <f>IFERROR(IF(VLOOKUP($A14,'Merge Workspace'!$A:$L,12,FALSE)="","Pending",VLOOKUP($A14,'Merge Workspace'!$A:$L,12,FALSE)),"Pending")</f>
        <v/>
      </c>
      <c r="I14" s="19" t="inlineStr">
        <is>
          <t>Open</t>
        </is>
      </c>
    </row>
    <row r="15">
      <c r="A15" s="15" t="inlineStr">
        <is>
          <t>M-016</t>
        </is>
      </c>
      <c r="B15" s="20" t="inlineStr">
        <is>
          <t>220nF | 6.3V⇄10V</t>
        </is>
      </c>
      <c r="C15" s="15" t="n">
        <v>8</v>
      </c>
      <c r="D15" s="15" t="n">
        <v>6</v>
      </c>
      <c r="E15" s="15" t="n">
        <v>2</v>
      </c>
      <c r="F15" s="15" t="inlineStr">
        <is>
          <t>★★</t>
        </is>
      </c>
      <c r="G15" s="15" t="inlineStr">
        <is>
          <t>🟠 Voltage 6.3V ➔ 10V</t>
        </is>
      </c>
      <c r="H15" s="15">
        <f>IFERROR(IF(VLOOKUP($A15,'Merge Workspace'!$A:$L,12,FALSE)="","Pending",VLOOKUP($A15,'Merge Workspace'!$A:$L,12,FALSE)),"Pending")</f>
        <v/>
      </c>
      <c r="I15" s="19" t="inlineStr">
        <is>
          <t>Open</t>
        </is>
      </c>
    </row>
    <row r="16">
      <c r="A16" s="16" t="inlineStr">
        <is>
          <t>M-013</t>
        </is>
      </c>
      <c r="B16" s="18" t="inlineStr">
        <is>
          <t>10nF | 25V⇄50V</t>
        </is>
      </c>
      <c r="C16" s="16" t="n">
        <v>6</v>
      </c>
      <c r="D16" s="16" t="n">
        <v>4</v>
      </c>
      <c r="E16" s="16" t="n">
        <v>2</v>
      </c>
      <c r="F16" s="16" t="inlineStr">
        <is>
          <t>★★</t>
        </is>
      </c>
      <c r="G16" s="16" t="inlineStr">
        <is>
          <t>🟠 Voltage 50V ➔ 25V</t>
        </is>
      </c>
      <c r="H16" s="16">
        <f>IFERROR(IF(VLOOKUP($A16,'Merge Workspace'!$A:$L,12,FALSE)="","Pending",VLOOKUP($A16,'Merge Workspace'!$A:$L,12,FALSE)),"Pending")</f>
        <v/>
      </c>
      <c r="I16" s="19" t="inlineStr">
        <is>
          <t>Open</t>
        </is>
      </c>
    </row>
    <row r="17">
      <c r="A17" s="15" t="inlineStr">
        <is>
          <t>M-015</t>
        </is>
      </c>
      <c r="B17" s="20" t="inlineStr">
        <is>
          <t>1uF | 25V⇄10V</t>
        </is>
      </c>
      <c r="C17" s="15" t="n">
        <v>5</v>
      </c>
      <c r="D17" s="15" t="n">
        <v>3</v>
      </c>
      <c r="E17" s="15" t="n">
        <v>2</v>
      </c>
      <c r="F17" s="15" t="inlineStr">
        <is>
          <t>★★</t>
        </is>
      </c>
      <c r="G17" s="15" t="inlineStr">
        <is>
          <t>🟠 Voltage 25V ➔ 10V</t>
        </is>
      </c>
      <c r="H17" s="15">
        <f>IFERROR(IF(VLOOKUP($A17,'Merge Workspace'!$A:$L,12,FALSE)="","Pending",VLOOKUP($A17,'Merge Workspace'!$A:$L,12,FALSE)),"Pending")</f>
        <v/>
      </c>
      <c r="I17" s="19" t="inlineStr">
        <is>
          <t>Open</t>
        </is>
      </c>
    </row>
    <row r="18">
      <c r="A18" s="16" t="inlineStr">
        <is>
          <t>M-018</t>
        </is>
      </c>
      <c r="B18" s="18" t="inlineStr">
        <is>
          <t>4.7uF | 25V⇄6.3V</t>
        </is>
      </c>
      <c r="C18" s="16" t="n">
        <v>12</v>
      </c>
      <c r="D18" s="16" t="n">
        <v>11</v>
      </c>
      <c r="E18" s="16" t="n">
        <v>1</v>
      </c>
      <c r="F18" s="16" t="inlineStr">
        <is>
          <t>★★</t>
        </is>
      </c>
      <c r="G18" s="16" t="inlineStr">
        <is>
          <t>🟠 Voltage 25V ➔ 6.3V</t>
        </is>
      </c>
      <c r="H18" s="16">
        <f>IFERROR(IF(VLOOKUP($A18,'Merge Workspace'!$A:$L,12,FALSE)="","Pending",VLOOKUP($A18,'Merge Workspace'!$A:$L,12,FALSE)),"Pending")</f>
        <v/>
      </c>
      <c r="I18" s="19" t="inlineStr">
        <is>
          <t>Open</t>
        </is>
      </c>
    </row>
    <row r="19">
      <c r="A19" s="15" t="inlineStr">
        <is>
          <t>M-017</t>
        </is>
      </c>
      <c r="B19" s="20" t="inlineStr">
        <is>
          <t>22nF | 50V⇄16V</t>
        </is>
      </c>
      <c r="C19" s="15" t="n">
        <v>3</v>
      </c>
      <c r="D19" s="15" t="n">
        <v>2</v>
      </c>
      <c r="E19" s="15" t="n">
        <v>1</v>
      </c>
      <c r="F19" s="15" t="inlineStr">
        <is>
          <t>★★</t>
        </is>
      </c>
      <c r="G19" s="15" t="inlineStr">
        <is>
          <t>🟠 Voltage 16V ➔ 50V</t>
        </is>
      </c>
      <c r="H19" s="15">
        <f>IFERROR(IF(VLOOKUP($A19,'Merge Workspace'!$A:$L,12,FALSE)="","Pending",VLOOKUP($A19,'Merge Workspace'!$A:$L,12,FALSE)),"Pending")</f>
        <v/>
      </c>
      <c r="I19" s="19" t="inlineStr">
        <is>
          <t>Open</t>
        </is>
      </c>
    </row>
    <row r="20">
      <c r="A20" s="16" t="inlineStr">
        <is>
          <t>M-019</t>
        </is>
      </c>
      <c r="B20" s="18" t="inlineStr">
        <is>
          <t>470nF | 16V⇄6.3V</t>
        </is>
      </c>
      <c r="C20" s="16" t="n">
        <v>2</v>
      </c>
      <c r="D20" s="16" t="n">
        <v>1</v>
      </c>
      <c r="E20" s="16" t="n">
        <v>1</v>
      </c>
      <c r="F20" s="16" t="inlineStr">
        <is>
          <t>★★</t>
        </is>
      </c>
      <c r="G20" s="16" t="inlineStr">
        <is>
          <t>🟠 Voltage 16V ➔ 6.3V</t>
        </is>
      </c>
      <c r="H20" s="16">
        <f>IFERROR(IF(VLOOKUP($A20,'Merge Workspace'!$A:$L,12,FALSE)="","Pending",VLOOKUP($A20,'Merge Workspace'!$A:$L,12,FALSE)),"Pending")</f>
        <v/>
      </c>
      <c r="I20" s="19" t="inlineStr">
        <is>
          <t>Open</t>
        </is>
      </c>
    </row>
    <row r="21">
      <c r="A21" s="15" t="inlineStr">
        <is>
          <t>M-021</t>
        </is>
      </c>
      <c r="B21" s="20" t="inlineStr">
        <is>
          <t>22uF | X6S⇄X5R</t>
        </is>
      </c>
      <c r="C21" s="15" t="n">
        <v>100</v>
      </c>
      <c r="D21" s="15" t="n">
        <v>55</v>
      </c>
      <c r="E21" s="15" t="n">
        <v>45</v>
      </c>
      <c r="F21" s="15" t="inlineStr">
        <is>
          <t>★</t>
        </is>
      </c>
      <c r="G21" s="15" t="inlineStr">
        <is>
          <t>🔴 Material X5R ➔ X6S</t>
        </is>
      </c>
      <c r="H21" s="15">
        <f>IFERROR(IF(VLOOKUP($A21,'Merge Workspace'!$A:$L,12,FALSE)="","Pending",VLOOKUP($A21,'Merge Workspace'!$A:$L,12,FALSE)),"Pending")</f>
        <v/>
      </c>
      <c r="I21" s="19" t="inlineStr">
        <is>
          <t>Open</t>
        </is>
      </c>
    </row>
    <row r="22">
      <c r="A22" s="16" t="inlineStr">
        <is>
          <t>M-022</t>
        </is>
      </c>
      <c r="B22" s="18" t="inlineStr">
        <is>
          <t>4.7uF | X6S⇄X5R</t>
        </is>
      </c>
      <c r="C22" s="16" t="n">
        <v>16</v>
      </c>
      <c r="D22" s="16" t="n">
        <v>8</v>
      </c>
      <c r="E22" s="16" t="n">
        <v>8</v>
      </c>
      <c r="F22" s="16" t="inlineStr">
        <is>
          <t>★</t>
        </is>
      </c>
      <c r="G22" s="16" t="inlineStr">
        <is>
          <t>🔴 Material X5R ➔ X6S</t>
        </is>
      </c>
      <c r="H22" s="16">
        <f>IFERROR(IF(VLOOKUP($A22,'Merge Workspace'!$A:$L,12,FALSE)="","Pending",VLOOKUP($A22,'Merge Workspace'!$A:$L,12,FALSE)),"Pending")</f>
        <v/>
      </c>
      <c r="I22" s="19" t="inlineStr">
        <is>
          <t>Open</t>
        </is>
      </c>
    </row>
    <row r="23">
      <c r="A23" s="15" t="inlineStr">
        <is>
          <t>M-020</t>
        </is>
      </c>
      <c r="B23" s="20" t="inlineStr">
        <is>
          <t>2.2nF | X7R⇄X5R</t>
        </is>
      </c>
      <c r="C23" s="15" t="n">
        <v>2</v>
      </c>
      <c r="D23" s="15" t="n">
        <v>1</v>
      </c>
      <c r="E23" s="15" t="n">
        <v>1</v>
      </c>
      <c r="F23" s="15" t="inlineStr">
        <is>
          <t>★</t>
        </is>
      </c>
      <c r="G23" s="15" t="inlineStr">
        <is>
          <t>🔴 Material X5R ➔ X7R</t>
        </is>
      </c>
      <c r="H23" s="15">
        <f>IFERROR(IF(VLOOKUP($A23,'Merge Workspace'!$A:$L,12,FALSE)="","Pending",VLOOKUP($A23,'Merge Workspace'!$A:$L,12,FALSE)),"Pending")</f>
        <v/>
      </c>
      <c r="I23" s="19" t="inlineStr">
        <is>
          <t>Open</t>
        </is>
      </c>
    </row>
  </sheetData>
  <autoFilter ref="A1:I23"/>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8"/>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10" customWidth="1" min="4" max="4"/>
    <col width="10" customWidth="1" min="5" max="5"/>
    <col width="22" customWidth="1" min="6" max="6"/>
    <col width="20" customWidth="1" min="7" max="7"/>
    <col width="28" customWidth="1" min="8" max="8"/>
    <col width="18" customWidth="1" min="9" max="9"/>
    <col width="16" customWidth="1" min="10" max="10"/>
    <col width="16" customWidth="1" min="11" max="11"/>
    <col width="18" customWidth="1" min="12" max="12"/>
  </cols>
  <sheetData>
    <row r="1" ht="30" customHeight="1">
      <c r="A1" s="14" t="inlineStr">
        <is>
          <t>Merge ID</t>
        </is>
      </c>
      <c r="B1" s="14" t="inlineStr">
        <is>
          <t>Keep PN</t>
        </is>
      </c>
      <c r="C1" s="14" t="inlineStr">
        <is>
          <t>Merge PN</t>
        </is>
      </c>
      <c r="D1" s="14" t="inlineStr">
        <is>
          <t>Keep Qty</t>
        </is>
      </c>
      <c r="E1" s="14" t="inlineStr">
        <is>
          <t>Merge Qty</t>
        </is>
      </c>
      <c r="F1" s="14" t="inlineStr">
        <is>
          <t>Affected RefDes</t>
        </is>
      </c>
      <c r="G1" s="14" t="inlineStr">
        <is>
          <t>Estimated Modification</t>
        </is>
      </c>
      <c r="H1" s="14" t="inlineStr">
        <is>
          <t>Difference</t>
        </is>
      </c>
      <c r="I1" s="14" t="inlineStr">
        <is>
          <t>Package</t>
        </is>
      </c>
      <c r="J1" s="14" t="inlineStr">
        <is>
          <t>Voltage</t>
        </is>
      </c>
      <c r="K1" s="14" t="inlineStr">
        <is>
          <t>Material</t>
        </is>
      </c>
      <c r="L1" s="14" t="inlineStr">
        <is>
          <t>BOM Action</t>
        </is>
      </c>
    </row>
    <row r="2">
      <c r="A2" s="21" t="inlineStr">
        <is>
          <t>M-001</t>
        </is>
      </c>
      <c r="B2" s="22" t="inlineStr">
        <is>
          <t>11203-0211Q000</t>
        </is>
      </c>
      <c r="C2" s="22" t="inlineStr"/>
      <c r="D2" s="22" t="n">
        <v>69</v>
      </c>
      <c r="E2" s="22" t="inlineStr"/>
      <c r="F2" s="22" t="inlineStr"/>
      <c r="G2" s="22" t="inlineStr"/>
      <c r="H2" s="22" t="inlineStr">
        <is>
          <t>KEEP</t>
        </is>
      </c>
      <c r="I2" s="22" t="inlineStr">
        <is>
          <t>0402</t>
        </is>
      </c>
      <c r="J2" s="22" t="inlineStr">
        <is>
          <t>16V</t>
        </is>
      </c>
      <c r="K2" s="22" t="inlineStr">
        <is>
          <t>X7R</t>
        </is>
      </c>
      <c r="L2" s="22" t="inlineStr"/>
    </row>
    <row r="3">
      <c r="A3" s="23" t="inlineStr">
        <is>
          <t>M-001</t>
        </is>
      </c>
      <c r="B3" s="23" t="inlineStr">
        <is>
          <t>11203-0211Q000</t>
        </is>
      </c>
      <c r="C3" s="23" t="inlineStr">
        <is>
          <t>11G232110411360</t>
        </is>
      </c>
      <c r="D3" s="23" t="n">
        <v>69</v>
      </c>
      <c r="E3" s="23" t="n">
        <v>1</v>
      </c>
      <c r="F3" s="23" t="inlineStr">
        <is>
          <t>C2501</t>
        </is>
      </c>
      <c r="G3" s="23" t="inlineStr">
        <is>
          <t>Update 1 RefDes</t>
        </is>
      </c>
      <c r="H3" s="23" t="inlineStr">
        <is>
          <t>Same Spec</t>
        </is>
      </c>
      <c r="I3" s="23" t="inlineStr">
        <is>
          <t>0402</t>
        </is>
      </c>
      <c r="J3" s="23" t="inlineStr">
        <is>
          <t>16V</t>
        </is>
      </c>
      <c r="K3" s="23" t="inlineStr">
        <is>
          <t>X7R</t>
        </is>
      </c>
      <c r="L3" s="23" t="inlineStr"/>
    </row>
    <row r="4">
      <c r="A4" s="21" t="inlineStr">
        <is>
          <t>M-002</t>
        </is>
      </c>
      <c r="B4" s="22" t="inlineStr">
        <is>
          <t>11203-0042Q000</t>
        </is>
      </c>
      <c r="C4" s="22" t="inlineStr"/>
      <c r="D4" s="22" t="n">
        <v>4</v>
      </c>
      <c r="E4" s="22" t="inlineStr"/>
      <c r="F4" s="22" t="inlineStr"/>
      <c r="G4" s="22" t="inlineStr"/>
      <c r="H4" s="22" t="inlineStr">
        <is>
          <t>KEEP</t>
        </is>
      </c>
      <c r="I4" s="22" t="inlineStr">
        <is>
          <t>0402</t>
        </is>
      </c>
      <c r="J4" s="22" t="inlineStr">
        <is>
          <t>50V</t>
        </is>
      </c>
      <c r="K4" s="22" t="inlineStr">
        <is>
          <t>NP0</t>
        </is>
      </c>
      <c r="L4" s="22" t="inlineStr"/>
    </row>
    <row r="5">
      <c r="A5" s="23" t="inlineStr">
        <is>
          <t>M-002</t>
        </is>
      </c>
      <c r="B5" s="23" t="inlineStr">
        <is>
          <t>11203-0042Q000</t>
        </is>
      </c>
      <c r="C5" s="23" t="inlineStr">
        <is>
          <t>11203-0042P000</t>
        </is>
      </c>
      <c r="D5" s="23" t="n">
        <v>4</v>
      </c>
      <c r="E5" s="23" t="n">
        <v>1</v>
      </c>
      <c r="F5" s="23" t="inlineStr">
        <is>
          <t>PC2001</t>
        </is>
      </c>
      <c r="G5" s="23" t="inlineStr">
        <is>
          <t>Update 1 RefDes</t>
        </is>
      </c>
      <c r="H5" s="23" t="inlineStr">
        <is>
          <t>Same Spec</t>
        </is>
      </c>
      <c r="I5" s="23" t="inlineStr">
        <is>
          <t>0402</t>
        </is>
      </c>
      <c r="J5" s="23" t="inlineStr">
        <is>
          <t>50V</t>
        </is>
      </c>
      <c r="K5" s="23" t="inlineStr">
        <is>
          <t>NP0</t>
        </is>
      </c>
      <c r="L5" s="23" t="inlineStr"/>
    </row>
    <row r="6">
      <c r="A6" s="21" t="inlineStr">
        <is>
          <t>M-003</t>
        </is>
      </c>
      <c r="B6" s="22" t="inlineStr">
        <is>
          <t>11203-0176H000</t>
        </is>
      </c>
      <c r="C6" s="22" t="inlineStr"/>
      <c r="D6" s="22" t="n">
        <v>2</v>
      </c>
      <c r="E6" s="22" t="inlineStr"/>
      <c r="F6" s="22" t="inlineStr"/>
      <c r="G6" s="22" t="inlineStr"/>
      <c r="H6" s="22" t="inlineStr">
        <is>
          <t>KEEP</t>
        </is>
      </c>
      <c r="I6" s="22" t="inlineStr">
        <is>
          <t>0402</t>
        </is>
      </c>
      <c r="J6" s="22" t="inlineStr">
        <is>
          <t>25V</t>
        </is>
      </c>
      <c r="K6" s="22" t="inlineStr">
        <is>
          <t>X7R</t>
        </is>
      </c>
      <c r="L6" s="22" t="inlineStr"/>
    </row>
    <row r="7">
      <c r="A7" s="23" t="inlineStr">
        <is>
          <t>M-003</t>
        </is>
      </c>
      <c r="B7" s="23" t="inlineStr">
        <is>
          <t>11203-0176H000</t>
        </is>
      </c>
      <c r="C7" s="23" t="inlineStr">
        <is>
          <t>11203-01763000</t>
        </is>
      </c>
      <c r="D7" s="23" t="n">
        <v>2</v>
      </c>
      <c r="E7" s="23" t="n">
        <v>1</v>
      </c>
      <c r="F7" s="23" t="inlineStr">
        <is>
          <t>C6703</t>
        </is>
      </c>
      <c r="G7" s="23" t="inlineStr">
        <is>
          <t>Update 1 RefDes</t>
        </is>
      </c>
      <c r="H7" s="23" t="inlineStr">
        <is>
          <t>Vendor
Yageo → Mlcc 0.22Uf</t>
        </is>
      </c>
      <c r="I7" s="23" t="inlineStr">
        <is>
          <t>0402</t>
        </is>
      </c>
      <c r="J7" s="23" t="inlineStr">
        <is>
          <t>25V</t>
        </is>
      </c>
      <c r="K7" s="23" t="inlineStr">
        <is>
          <t>X7R</t>
        </is>
      </c>
      <c r="L7" s="23" t="inlineStr"/>
    </row>
    <row r="8">
      <c r="A8" s="21" t="inlineStr">
        <is>
          <t>M-004</t>
        </is>
      </c>
      <c r="B8" s="22" t="inlineStr">
        <is>
          <t>11202-0027Q000</t>
        </is>
      </c>
      <c r="C8" s="22" t="inlineStr"/>
      <c r="D8" s="22" t="n">
        <v>8</v>
      </c>
      <c r="E8" s="22" t="inlineStr"/>
      <c r="F8" s="22" t="inlineStr"/>
      <c r="G8" s="22" t="inlineStr"/>
      <c r="H8" s="22" t="inlineStr">
        <is>
          <t>KEEP</t>
        </is>
      </c>
      <c r="I8" s="22" t="inlineStr">
        <is>
          <t>0201</t>
        </is>
      </c>
      <c r="J8" s="22" t="inlineStr">
        <is>
          <t>16V</t>
        </is>
      </c>
      <c r="K8" s="22" t="inlineStr">
        <is>
          <t>X5R</t>
        </is>
      </c>
      <c r="L8" s="22" t="inlineStr"/>
    </row>
    <row r="9">
      <c r="A9" s="23" t="inlineStr">
        <is>
          <t>M-004</t>
        </is>
      </c>
      <c r="B9" s="23" t="inlineStr">
        <is>
          <t>11202-0027Q000</t>
        </is>
      </c>
      <c r="C9" s="23" t="inlineStr">
        <is>
          <t>11202-0027F000</t>
        </is>
      </c>
      <c r="D9" s="23" t="n">
        <v>8</v>
      </c>
      <c r="E9" s="23" t="n">
        <v>8</v>
      </c>
      <c r="F9" s="23" t="inlineStr">
        <is>
          <t>C3325
C3437
C4601
C4602
C4603
C4604
C7001
C7002</t>
        </is>
      </c>
      <c r="G9" s="23" t="inlineStr">
        <is>
          <t>Update 8 RefDes</t>
        </is>
      </c>
      <c r="H9" s="23" t="inlineStr">
        <is>
          <t>Vendor
Murata → Mlcc 0.1Uf</t>
        </is>
      </c>
      <c r="I9" s="23" t="inlineStr">
        <is>
          <t>0201</t>
        </is>
      </c>
      <c r="J9" s="23" t="inlineStr">
        <is>
          <t>16V</t>
        </is>
      </c>
      <c r="K9" s="23" t="inlineStr">
        <is>
          <t>X5R</t>
        </is>
      </c>
      <c r="L9" s="23" t="inlineStr"/>
    </row>
    <row r="10">
      <c r="A10" s="21" t="inlineStr">
        <is>
          <t>M-005</t>
        </is>
      </c>
      <c r="B10" s="22" t="inlineStr">
        <is>
          <t>11203-0087Q000</t>
        </is>
      </c>
      <c r="C10" s="22" t="inlineStr"/>
      <c r="D10" s="22" t="n">
        <v>34</v>
      </c>
      <c r="E10" s="22" t="inlineStr"/>
      <c r="F10" s="22" t="inlineStr"/>
      <c r="G10" s="22" t="inlineStr"/>
      <c r="H10" s="22" t="inlineStr">
        <is>
          <t>KEEP</t>
        </is>
      </c>
      <c r="I10" s="22" t="inlineStr">
        <is>
          <t>0402</t>
        </is>
      </c>
      <c r="J10" s="22" t="inlineStr">
        <is>
          <t>25V</t>
        </is>
      </c>
      <c r="K10" s="22" t="inlineStr">
        <is>
          <t>X7R</t>
        </is>
      </c>
      <c r="L10" s="22" t="inlineStr"/>
    </row>
    <row r="11">
      <c r="A11" s="23" t="inlineStr">
        <is>
          <t>M-005</t>
        </is>
      </c>
      <c r="B11" s="23" t="inlineStr">
        <is>
          <t>11203-0087Q000</t>
        </is>
      </c>
      <c r="C11" s="23" t="inlineStr">
        <is>
          <t>11G233110412390</t>
        </is>
      </c>
      <c r="D11" s="23" t="n">
        <v>34</v>
      </c>
      <c r="E11" s="23" t="n">
        <v>5</v>
      </c>
      <c r="F11" s="23" t="inlineStr">
        <is>
          <t>PC1239
PC1901
PC1902
PC1906
PC1907</t>
        </is>
      </c>
      <c r="G11" s="23" t="inlineStr">
        <is>
          <t>Update 5 RefDes</t>
        </is>
      </c>
      <c r="H11" s="23" t="inlineStr">
        <is>
          <t>Package
0603 → 0402</t>
        </is>
      </c>
      <c r="I11" s="23" t="inlineStr">
        <is>
          <t>0603 → 0402</t>
        </is>
      </c>
      <c r="J11" s="23" t="inlineStr">
        <is>
          <t>25V</t>
        </is>
      </c>
      <c r="K11" s="23" t="inlineStr">
        <is>
          <t>X7R</t>
        </is>
      </c>
      <c r="L11" s="23" t="inlineStr"/>
    </row>
    <row r="12">
      <c r="A12" s="21" t="inlineStr">
        <is>
          <t>M-006</t>
        </is>
      </c>
      <c r="B12" s="22" t="inlineStr">
        <is>
          <t>11203-0060Q000</t>
        </is>
      </c>
      <c r="C12" s="22" t="inlineStr"/>
      <c r="D12" s="22" t="n">
        <v>4</v>
      </c>
      <c r="E12" s="22" t="inlineStr"/>
      <c r="F12" s="22" t="inlineStr"/>
      <c r="G12" s="22" t="inlineStr"/>
      <c r="H12" s="22" t="inlineStr">
        <is>
          <t>KEEP</t>
        </is>
      </c>
      <c r="I12" s="22" t="inlineStr">
        <is>
          <t>0402</t>
        </is>
      </c>
      <c r="J12" s="22" t="inlineStr">
        <is>
          <t>50V</t>
        </is>
      </c>
      <c r="K12" s="22" t="inlineStr">
        <is>
          <t>X7R</t>
        </is>
      </c>
      <c r="L12" s="22" t="inlineStr"/>
    </row>
    <row r="13">
      <c r="A13" s="23" t="inlineStr">
        <is>
          <t>M-006</t>
        </is>
      </c>
      <c r="B13" s="23" t="inlineStr">
        <is>
          <t>11203-0060Q000</t>
        </is>
      </c>
      <c r="C13" s="23" t="inlineStr">
        <is>
          <t>11G233110414390</t>
        </is>
      </c>
      <c r="D13" s="23" t="n">
        <v>4</v>
      </c>
      <c r="E13" s="23" t="n">
        <v>2</v>
      </c>
      <c r="F13" s="23" t="inlineStr">
        <is>
          <t>PC1820
PC2024</t>
        </is>
      </c>
      <c r="G13" s="23" t="inlineStr">
        <is>
          <t>Update 2 RefDes</t>
        </is>
      </c>
      <c r="H13" s="23" t="inlineStr">
        <is>
          <t>Package
0603 → 0402</t>
        </is>
      </c>
      <c r="I13" s="23" t="inlineStr">
        <is>
          <t>0603 → 0402</t>
        </is>
      </c>
      <c r="J13" s="23" t="inlineStr">
        <is>
          <t>50V</t>
        </is>
      </c>
      <c r="K13" s="23" t="inlineStr">
        <is>
          <t>X7R</t>
        </is>
      </c>
      <c r="L13" s="23" t="inlineStr"/>
    </row>
    <row r="14">
      <c r="A14" s="21" t="inlineStr">
        <is>
          <t>M-007</t>
        </is>
      </c>
      <c r="B14" s="22" t="inlineStr">
        <is>
          <t>11G232210415070</t>
        </is>
      </c>
      <c r="C14" s="22" t="inlineStr"/>
      <c r="D14" s="22" t="n">
        <v>25</v>
      </c>
      <c r="E14" s="22" t="inlineStr"/>
      <c r="F14" s="22" t="inlineStr"/>
      <c r="G14" s="22" t="inlineStr"/>
      <c r="H14" s="22" t="inlineStr">
        <is>
          <t>KEEP</t>
        </is>
      </c>
      <c r="I14" s="22" t="inlineStr">
        <is>
          <t>0402</t>
        </is>
      </c>
      <c r="J14" s="22" t="inlineStr">
        <is>
          <t>6.3V</t>
        </is>
      </c>
      <c r="K14" s="22" t="inlineStr">
        <is>
          <t>X5R</t>
        </is>
      </c>
      <c r="L14" s="22" t="inlineStr"/>
    </row>
    <row r="15">
      <c r="A15" s="23" t="inlineStr">
        <is>
          <t>M-007</t>
        </is>
      </c>
      <c r="B15" s="23" t="inlineStr">
        <is>
          <t>11G232210415070</t>
        </is>
      </c>
      <c r="C15" s="23" t="inlineStr">
        <is>
          <t>11202-0039Q000</t>
        </is>
      </c>
      <c r="D15" s="23" t="n">
        <v>25</v>
      </c>
      <c r="E15" s="23" t="n">
        <v>12</v>
      </c>
      <c r="F15" s="23" t="inlineStr">
        <is>
          <t>C2402
C2403
C4309
C6202
C6204
C6205
C6206
C7602
C7609
C7615
C7632
C7668</t>
        </is>
      </c>
      <c r="G15" s="23" t="inlineStr">
        <is>
          <t>Update 12 RefDes</t>
        </is>
      </c>
      <c r="H15" s="23" t="inlineStr">
        <is>
          <t>Vendor
Mlcc 0.1Uf → Walsin
Package
0201 → 0402</t>
        </is>
      </c>
      <c r="I15" s="23" t="inlineStr">
        <is>
          <t>0201 → 0402</t>
        </is>
      </c>
      <c r="J15" s="23" t="inlineStr">
        <is>
          <t>6.3V</t>
        </is>
      </c>
      <c r="K15" s="23" t="inlineStr">
        <is>
          <t>X5R</t>
        </is>
      </c>
      <c r="L15" s="23" t="inlineStr"/>
    </row>
    <row r="16">
      <c r="A16" s="21" t="inlineStr">
        <is>
          <t>M-008</t>
        </is>
      </c>
      <c r="B16" s="22" t="inlineStr">
        <is>
          <t>11G233210625361</t>
        </is>
      </c>
      <c r="C16" s="22" t="inlineStr"/>
      <c r="D16" s="22" t="n">
        <v>37</v>
      </c>
      <c r="E16" s="22" t="inlineStr"/>
      <c r="F16" s="22" t="inlineStr"/>
      <c r="G16" s="22" t="inlineStr"/>
      <c r="H16" s="22" t="inlineStr">
        <is>
          <t>KEEP</t>
        </is>
      </c>
      <c r="I16" s="22" t="inlineStr">
        <is>
          <t>0603</t>
        </is>
      </c>
      <c r="J16" s="22" t="inlineStr">
        <is>
          <t>6.3V</t>
        </is>
      </c>
      <c r="K16" s="22" t="inlineStr">
        <is>
          <t>X5R</t>
        </is>
      </c>
      <c r="L16" s="22" t="inlineStr"/>
    </row>
    <row r="17">
      <c r="A17" s="23" t="inlineStr">
        <is>
          <t>M-008</t>
        </is>
      </c>
      <c r="B17" s="23" t="inlineStr">
        <is>
          <t>11G233210625361</t>
        </is>
      </c>
      <c r="C17" s="23" t="inlineStr">
        <is>
          <t>11203-0018Q000</t>
        </is>
      </c>
      <c r="D17" s="23" t="n">
        <v>37</v>
      </c>
      <c r="E17" s="23" t="n">
        <v>9</v>
      </c>
      <c r="F17" s="23" t="inlineStr">
        <is>
          <t>C5601
C5605
C5606
C5633
C5634
C6701
C7004
C7010
C7320</t>
        </is>
      </c>
      <c r="G17" s="23" t="inlineStr">
        <is>
          <t>Update 9 RefDes</t>
        </is>
      </c>
      <c r="H17" s="23" t="inlineStr">
        <is>
          <t>Package
0402 → 0603</t>
        </is>
      </c>
      <c r="I17" s="23" t="inlineStr">
        <is>
          <t>0402 → 0603</t>
        </is>
      </c>
      <c r="J17" s="23" t="inlineStr">
        <is>
          <t>6.3V</t>
        </is>
      </c>
      <c r="K17" s="23" t="inlineStr">
        <is>
          <t>X5R</t>
        </is>
      </c>
      <c r="L17" s="23" t="inlineStr"/>
    </row>
    <row r="18">
      <c r="A18" s="21" t="inlineStr">
        <is>
          <t>M-009</t>
        </is>
      </c>
      <c r="B18" s="22" t="inlineStr">
        <is>
          <t>11204-0024D000</t>
        </is>
      </c>
      <c r="C18" s="22" t="inlineStr"/>
      <c r="D18" s="22" t="n">
        <v>12</v>
      </c>
      <c r="E18" s="22" t="inlineStr"/>
      <c r="F18" s="22" t="inlineStr"/>
      <c r="G18" s="22" t="inlineStr"/>
      <c r="H18" s="22" t="inlineStr">
        <is>
          <t>KEEP</t>
        </is>
      </c>
      <c r="I18" s="22" t="inlineStr">
        <is>
          <t>0603</t>
        </is>
      </c>
      <c r="J18" s="22" t="inlineStr">
        <is>
          <t>6.3V</t>
        </is>
      </c>
      <c r="K18" s="22" t="inlineStr">
        <is>
          <t>X6S</t>
        </is>
      </c>
      <c r="L18" s="22" t="inlineStr"/>
    </row>
    <row r="19">
      <c r="A19" s="23" t="inlineStr">
        <is>
          <t>M-009</t>
        </is>
      </c>
      <c r="B19" s="23" t="inlineStr">
        <is>
          <t>11204-0024D000</t>
        </is>
      </c>
      <c r="C19" s="23" t="inlineStr">
        <is>
          <t>11203-0215F000</t>
        </is>
      </c>
      <c r="D19" s="23" t="n">
        <v>12</v>
      </c>
      <c r="E19" s="23" t="n">
        <v>7</v>
      </c>
      <c r="F19" s="23" t="inlineStr">
        <is>
          <t>C3012
C3023
C3031
C3032
C3033
C3034
C3035</t>
        </is>
      </c>
      <c r="G19" s="23" t="inlineStr">
        <is>
          <t>Update 7 RefDes</t>
        </is>
      </c>
      <c r="H19" s="23" t="inlineStr">
        <is>
          <t>Vendor
Murata → Samsung
Package
0402 → 0603</t>
        </is>
      </c>
      <c r="I19" s="23" t="inlineStr">
        <is>
          <t>0402 → 0603</t>
        </is>
      </c>
      <c r="J19" s="23" t="inlineStr">
        <is>
          <t>6.3V</t>
        </is>
      </c>
      <c r="K19" s="23" t="inlineStr">
        <is>
          <t>X6S</t>
        </is>
      </c>
      <c r="L19" s="23" t="inlineStr"/>
    </row>
    <row r="20">
      <c r="A20" s="21" t="inlineStr">
        <is>
          <t>M-010</t>
        </is>
      </c>
      <c r="B20" s="22" t="inlineStr">
        <is>
          <t>11204-0006Q000</t>
        </is>
      </c>
      <c r="C20" s="22" t="inlineStr"/>
      <c r="D20" s="22" t="n">
        <v>5</v>
      </c>
      <c r="E20" s="22" t="inlineStr"/>
      <c r="F20" s="22" t="inlineStr"/>
      <c r="G20" s="22" t="inlineStr"/>
      <c r="H20" s="22" t="inlineStr">
        <is>
          <t>KEEP</t>
        </is>
      </c>
      <c r="I20" s="22" t="inlineStr">
        <is>
          <t>0603</t>
        </is>
      </c>
      <c r="J20" s="22" t="inlineStr">
        <is>
          <t>16V</t>
        </is>
      </c>
      <c r="K20" s="22" t="inlineStr">
        <is>
          <t>X5R</t>
        </is>
      </c>
      <c r="L20" s="22" t="inlineStr"/>
    </row>
    <row r="21">
      <c r="A21" s="23" t="inlineStr">
        <is>
          <t>M-010</t>
        </is>
      </c>
      <c r="B21" s="23" t="inlineStr">
        <is>
          <t>11204-0006Q000</t>
        </is>
      </c>
      <c r="C21" s="23" t="inlineStr">
        <is>
          <t>11203-0030F000</t>
        </is>
      </c>
      <c r="D21" s="23" t="n">
        <v>5</v>
      </c>
      <c r="E21" s="23" t="n">
        <v>5</v>
      </c>
      <c r="F21" s="23" t="inlineStr">
        <is>
          <t>C8112
C8126
PC1510
PC1511
PC1516</t>
        </is>
      </c>
      <c r="G21" s="23" t="inlineStr">
        <is>
          <t>Update 5 RefDes</t>
        </is>
      </c>
      <c r="H21" s="23" t="inlineStr">
        <is>
          <t>Vendor
Murata → Mlcc 2.2Uf
Package
0402 → 0603</t>
        </is>
      </c>
      <c r="I21" s="23" t="inlineStr">
        <is>
          <t>0402 → 0603</t>
        </is>
      </c>
      <c r="J21" s="23" t="inlineStr">
        <is>
          <t>16V</t>
        </is>
      </c>
      <c r="K21" s="23" t="inlineStr">
        <is>
          <t>X5R</t>
        </is>
      </c>
      <c r="L21" s="23" t="inlineStr"/>
    </row>
    <row r="22">
      <c r="A22" s="21" t="inlineStr">
        <is>
          <t>M-011</t>
        </is>
      </c>
      <c r="B22" s="22" t="inlineStr">
        <is>
          <t>11G232222525320</t>
        </is>
      </c>
      <c r="C22" s="22" t="inlineStr"/>
      <c r="D22" s="22" t="n">
        <v>7</v>
      </c>
      <c r="E22" s="22" t="inlineStr"/>
      <c r="F22" s="22" t="inlineStr"/>
      <c r="G22" s="22" t="inlineStr"/>
      <c r="H22" s="22" t="inlineStr">
        <is>
          <t>KEEP</t>
        </is>
      </c>
      <c r="I22" s="22" t="inlineStr">
        <is>
          <t>0402</t>
        </is>
      </c>
      <c r="J22" s="22" t="inlineStr">
        <is>
          <t>6.3V</t>
        </is>
      </c>
      <c r="K22" s="22" t="inlineStr">
        <is>
          <t>X5R</t>
        </is>
      </c>
      <c r="L22" s="22" t="inlineStr"/>
    </row>
    <row r="23">
      <c r="A23" s="23" t="inlineStr">
        <is>
          <t>M-011</t>
        </is>
      </c>
      <c r="B23" s="23" t="inlineStr">
        <is>
          <t>11G232222525320</t>
        </is>
      </c>
      <c r="C23" s="23" t="inlineStr">
        <is>
          <t>11202-0063Q000</t>
        </is>
      </c>
      <c r="D23" s="23" t="n">
        <v>7</v>
      </c>
      <c r="E23" s="23" t="n">
        <v>2</v>
      </c>
      <c r="F23" s="23" t="inlineStr">
        <is>
          <t>C3326
C3438</t>
        </is>
      </c>
      <c r="G23" s="23" t="inlineStr">
        <is>
          <t>Update 2 RefDes</t>
        </is>
      </c>
      <c r="H23" s="23" t="inlineStr">
        <is>
          <t>Vendor
Mlcc 2.2Uf → Murata
Package
0201 → 0402</t>
        </is>
      </c>
      <c r="I23" s="23" t="inlineStr">
        <is>
          <t>0201 → 0402</t>
        </is>
      </c>
      <c r="J23" s="23" t="inlineStr">
        <is>
          <t>6.3V</t>
        </is>
      </c>
      <c r="K23" s="23" t="inlineStr">
        <is>
          <t>X5R</t>
        </is>
      </c>
      <c r="L23" s="23" t="inlineStr"/>
    </row>
    <row r="24">
      <c r="A24" s="21" t="inlineStr">
        <is>
          <t>M-012</t>
        </is>
      </c>
      <c r="B24" s="22" t="inlineStr">
        <is>
          <t>11202-0447Q000</t>
        </is>
      </c>
      <c r="C24" s="22" t="inlineStr"/>
      <c r="D24" s="22" t="n">
        <v>4</v>
      </c>
      <c r="E24" s="22" t="inlineStr"/>
      <c r="F24" s="22" t="inlineStr"/>
      <c r="G24" s="22" t="inlineStr"/>
      <c r="H24" s="22" t="inlineStr">
        <is>
          <t>KEEP</t>
        </is>
      </c>
      <c r="I24" s="22" t="inlineStr">
        <is>
          <t>0201</t>
        </is>
      </c>
      <c r="J24" s="22" t="inlineStr">
        <is>
          <t>6.3V</t>
        </is>
      </c>
      <c r="K24" s="22" t="inlineStr">
        <is>
          <t>X5R</t>
        </is>
      </c>
      <c r="L24" s="22" t="inlineStr"/>
    </row>
    <row r="25">
      <c r="A25" s="23" t="inlineStr">
        <is>
          <t>M-012</t>
        </is>
      </c>
      <c r="B25" s="23" t="inlineStr">
        <is>
          <t>11202-0447Q000</t>
        </is>
      </c>
      <c r="C25" s="23" t="inlineStr">
        <is>
          <t>11203-0182Q100</t>
        </is>
      </c>
      <c r="D25" s="23" t="n">
        <v>4</v>
      </c>
      <c r="E25" s="23" t="n">
        <v>2</v>
      </c>
      <c r="F25" s="23" t="inlineStr">
        <is>
          <t>C7314
C7315</t>
        </is>
      </c>
      <c r="G25" s="23" t="inlineStr">
        <is>
          <t>Update 2 RefDes</t>
        </is>
      </c>
      <c r="H25" s="23" t="inlineStr">
        <is>
          <t>Package
0402 → 0201</t>
        </is>
      </c>
      <c r="I25" s="23" t="inlineStr">
        <is>
          <t>0402 → 0201</t>
        </is>
      </c>
      <c r="J25" s="23" t="inlineStr">
        <is>
          <t>6.3V</t>
        </is>
      </c>
      <c r="K25" s="23" t="inlineStr">
        <is>
          <t>X5R</t>
        </is>
      </c>
      <c r="L25" s="23" t="inlineStr"/>
    </row>
    <row r="26">
      <c r="A26" s="21" t="inlineStr">
        <is>
          <t>M-013</t>
        </is>
      </c>
      <c r="B26" s="22" t="inlineStr">
        <is>
          <t>11203-0322Q000</t>
        </is>
      </c>
      <c r="C26" s="22" t="inlineStr"/>
      <c r="D26" s="22" t="n">
        <v>4</v>
      </c>
      <c r="E26" s="22" t="inlineStr"/>
      <c r="F26" s="22" t="inlineStr"/>
      <c r="G26" s="22" t="inlineStr"/>
      <c r="H26" s="22" t="inlineStr">
        <is>
          <t>KEEP</t>
        </is>
      </c>
      <c r="I26" s="22" t="inlineStr">
        <is>
          <t>0402</t>
        </is>
      </c>
      <c r="J26" s="22" t="inlineStr">
        <is>
          <t>25V</t>
        </is>
      </c>
      <c r="K26" s="22" t="inlineStr">
        <is>
          <t>X7R</t>
        </is>
      </c>
      <c r="L26" s="22" t="inlineStr"/>
    </row>
    <row r="27">
      <c r="A27" s="23" t="inlineStr">
        <is>
          <t>M-013</t>
        </is>
      </c>
      <c r="B27" s="23" t="inlineStr">
        <is>
          <t>11203-0322Q000</t>
        </is>
      </c>
      <c r="C27" s="23" t="inlineStr">
        <is>
          <t>11G232110314390</t>
        </is>
      </c>
      <c r="D27" s="23" t="n">
        <v>4</v>
      </c>
      <c r="E27" s="23" t="n">
        <v>2</v>
      </c>
      <c r="F27" s="23" t="inlineStr">
        <is>
          <t>C7201
C7203</t>
        </is>
      </c>
      <c r="G27" s="23" t="inlineStr">
        <is>
          <t>Update 2 RefDes</t>
        </is>
      </c>
      <c r="H27" s="23" t="inlineStr">
        <is>
          <t>Voltage
50V → 25V</t>
        </is>
      </c>
      <c r="I27" s="23" t="inlineStr">
        <is>
          <t>0402</t>
        </is>
      </c>
      <c r="J27" s="23" t="inlineStr">
        <is>
          <t>50V → 25V</t>
        </is>
      </c>
      <c r="K27" s="23" t="inlineStr">
        <is>
          <t>X7R</t>
        </is>
      </c>
      <c r="L27" s="23" t="inlineStr"/>
    </row>
    <row r="28">
      <c r="A28" s="21" t="inlineStr">
        <is>
          <t>M-014</t>
        </is>
      </c>
      <c r="B28" s="22" t="inlineStr">
        <is>
          <t>11203-0356Q000</t>
        </is>
      </c>
      <c r="C28" s="22" t="inlineStr"/>
      <c r="D28" s="22" t="n">
        <v>11</v>
      </c>
      <c r="E28" s="22" t="inlineStr"/>
      <c r="F28" s="22" t="inlineStr"/>
      <c r="G28" s="22" t="inlineStr"/>
      <c r="H28" s="22" t="inlineStr">
        <is>
          <t>KEEP</t>
        </is>
      </c>
      <c r="I28" s="22" t="inlineStr">
        <is>
          <t>0402</t>
        </is>
      </c>
      <c r="J28" s="22" t="inlineStr">
        <is>
          <t>6.3V</t>
        </is>
      </c>
      <c r="K28" s="22" t="inlineStr">
        <is>
          <t>X5R</t>
        </is>
      </c>
      <c r="L28" s="22" t="inlineStr"/>
    </row>
    <row r="29">
      <c r="A29" s="23" t="inlineStr">
        <is>
          <t>M-014</t>
        </is>
      </c>
      <c r="B29" s="23" t="inlineStr">
        <is>
          <t>11203-0356Q000</t>
        </is>
      </c>
      <c r="C29" s="23" t="inlineStr">
        <is>
          <t>11203-0402F000</t>
        </is>
      </c>
      <c r="D29" s="23" t="n">
        <v>11</v>
      </c>
      <c r="E29" s="23" t="n">
        <v>4</v>
      </c>
      <c r="F29" s="23" t="inlineStr">
        <is>
          <t>C7614
C7626
C7639
C7640</t>
        </is>
      </c>
      <c r="G29" s="23" t="inlineStr">
        <is>
          <t>Update 4 RefDes</t>
        </is>
      </c>
      <c r="H29" s="23" t="inlineStr">
        <is>
          <t>Vendor
Murata → Mlcc 1Uf
Voltage
50V → 6.3V</t>
        </is>
      </c>
      <c r="I29" s="23" t="inlineStr">
        <is>
          <t>0402</t>
        </is>
      </c>
      <c r="J29" s="23" t="inlineStr">
        <is>
          <t>50V → 6.3V</t>
        </is>
      </c>
      <c r="K29" s="23" t="inlineStr">
        <is>
          <t>X5R</t>
        </is>
      </c>
      <c r="L29" s="23" t="inlineStr"/>
    </row>
    <row r="30">
      <c r="A30" s="23" t="inlineStr">
        <is>
          <t>M-014</t>
        </is>
      </c>
      <c r="B30" s="23" t="inlineStr">
        <is>
          <t>11203-0356Q000</t>
        </is>
      </c>
      <c r="C30" s="23" t="inlineStr">
        <is>
          <t>11203-0003Q000</t>
        </is>
      </c>
      <c r="D30" s="23" t="n">
        <v>11</v>
      </c>
      <c r="E30" s="23" t="n">
        <v>2</v>
      </c>
      <c r="F30" s="23" t="inlineStr">
        <is>
          <t>C4327
C8140</t>
        </is>
      </c>
      <c r="G30" s="23" t="inlineStr">
        <is>
          <t>Update 2 RefDes</t>
        </is>
      </c>
      <c r="H30" s="23" t="inlineStr">
        <is>
          <t>Voltage
16V → 6.3V</t>
        </is>
      </c>
      <c r="I30" s="23" t="inlineStr">
        <is>
          <t>0402</t>
        </is>
      </c>
      <c r="J30" s="23" t="inlineStr">
        <is>
          <t>16V → 6.3V</t>
        </is>
      </c>
      <c r="K30" s="23" t="inlineStr">
        <is>
          <t>X5R</t>
        </is>
      </c>
      <c r="L30" s="23" t="inlineStr"/>
    </row>
    <row r="31">
      <c r="A31" s="21" t="inlineStr">
        <is>
          <t>M-015</t>
        </is>
      </c>
      <c r="B31" s="22" t="inlineStr">
        <is>
          <t>11G233210516360</t>
        </is>
      </c>
      <c r="C31" s="22" t="inlineStr"/>
      <c r="D31" s="22" t="n">
        <v>3</v>
      </c>
      <c r="E31" s="22" t="inlineStr"/>
      <c r="F31" s="22" t="inlineStr"/>
      <c r="G31" s="22" t="inlineStr"/>
      <c r="H31" s="22" t="inlineStr">
        <is>
          <t>KEEP</t>
        </is>
      </c>
      <c r="I31" s="22" t="inlineStr">
        <is>
          <t>0603</t>
        </is>
      </c>
      <c r="J31" s="22" t="inlineStr">
        <is>
          <t>10V</t>
        </is>
      </c>
      <c r="K31" s="22" t="inlineStr">
        <is>
          <t>X5R</t>
        </is>
      </c>
      <c r="L31" s="22" t="inlineStr"/>
    </row>
    <row r="32">
      <c r="A32" s="23" t="inlineStr">
        <is>
          <t>M-015</t>
        </is>
      </c>
      <c r="B32" s="23" t="inlineStr">
        <is>
          <t>11G233210516360</t>
        </is>
      </c>
      <c r="C32" s="23" t="inlineStr">
        <is>
          <t>11G233210512320</t>
        </is>
      </c>
      <c r="D32" s="23" t="n">
        <v>3</v>
      </c>
      <c r="E32" s="23" t="n">
        <v>2</v>
      </c>
      <c r="F32" s="23" t="inlineStr">
        <is>
          <t>PC1249
PC1824</t>
        </is>
      </c>
      <c r="G32" s="23" t="inlineStr">
        <is>
          <t>Update 2 RefDes</t>
        </is>
      </c>
      <c r="H32" s="23" t="inlineStr">
        <is>
          <t>Vendor
Murata → Mlcc 1Uf
Voltage
25V → 10V</t>
        </is>
      </c>
      <c r="I32" s="23" t="inlineStr">
        <is>
          <t>0603</t>
        </is>
      </c>
      <c r="J32" s="23" t="inlineStr">
        <is>
          <t>25V → 10V</t>
        </is>
      </c>
      <c r="K32" s="23" t="inlineStr">
        <is>
          <t>X5R</t>
        </is>
      </c>
      <c r="L32" s="23" t="inlineStr"/>
    </row>
    <row r="33">
      <c r="A33" s="21" t="inlineStr">
        <is>
          <t>M-016</t>
        </is>
      </c>
      <c r="B33" s="22" t="inlineStr">
        <is>
          <t>11G232222416390</t>
        </is>
      </c>
      <c r="C33" s="22" t="inlineStr"/>
      <c r="D33" s="22" t="n">
        <v>6</v>
      </c>
      <c r="E33" s="22" t="inlineStr"/>
      <c r="F33" s="22" t="inlineStr"/>
      <c r="G33" s="22" t="inlineStr"/>
      <c r="H33" s="22" t="inlineStr">
        <is>
          <t>KEEP</t>
        </is>
      </c>
      <c r="I33" s="22" t="inlineStr">
        <is>
          <t>0402</t>
        </is>
      </c>
      <c r="J33" s="22" t="inlineStr">
        <is>
          <t>10V</t>
        </is>
      </c>
      <c r="K33" s="22" t="inlineStr">
        <is>
          <t>X5R</t>
        </is>
      </c>
      <c r="L33" s="22" t="inlineStr"/>
    </row>
    <row r="34">
      <c r="A34" s="23" t="inlineStr">
        <is>
          <t>M-016</t>
        </is>
      </c>
      <c r="B34" s="23" t="inlineStr">
        <is>
          <t>11G232222416390</t>
        </is>
      </c>
      <c r="C34" s="23" t="inlineStr">
        <is>
          <t>11203-0035D000</t>
        </is>
      </c>
      <c r="D34" s="23" t="n">
        <v>6</v>
      </c>
      <c r="E34" s="23" t="n">
        <v>2</v>
      </c>
      <c r="F34" s="23" t="inlineStr">
        <is>
          <t>C8155
PC1205</t>
        </is>
      </c>
      <c r="G34" s="23" t="inlineStr">
        <is>
          <t>Update 2 RefDes</t>
        </is>
      </c>
      <c r="H34" s="23" t="inlineStr">
        <is>
          <t>Vendor
Samsung → Mlcc 0.22Uf
Voltage
6.3V → 10V</t>
        </is>
      </c>
      <c r="I34" s="23" t="inlineStr">
        <is>
          <t>0402</t>
        </is>
      </c>
      <c r="J34" s="23" t="inlineStr">
        <is>
          <t>6.3V → 10V</t>
        </is>
      </c>
      <c r="K34" s="23" t="inlineStr">
        <is>
          <t>X5R</t>
        </is>
      </c>
      <c r="L34" s="23" t="inlineStr"/>
    </row>
    <row r="35">
      <c r="A35" s="21" t="inlineStr">
        <is>
          <t>M-017</t>
        </is>
      </c>
      <c r="B35" s="22" t="inlineStr">
        <is>
          <t>11203-0061F000</t>
        </is>
      </c>
      <c r="C35" s="22" t="inlineStr"/>
      <c r="D35" s="22" t="n">
        <v>2</v>
      </c>
      <c r="E35" s="22" t="inlineStr"/>
      <c r="F35" s="22" t="inlineStr"/>
      <c r="G35" s="22" t="inlineStr"/>
      <c r="H35" s="22" t="inlineStr">
        <is>
          <t>KEEP</t>
        </is>
      </c>
      <c r="I35" s="22" t="inlineStr">
        <is>
          <t>0402</t>
        </is>
      </c>
      <c r="J35" s="22" t="inlineStr">
        <is>
          <t>50V</t>
        </is>
      </c>
      <c r="K35" s="22" t="inlineStr">
        <is>
          <t>X7R</t>
        </is>
      </c>
      <c r="L35" s="22" t="inlineStr"/>
    </row>
    <row r="36">
      <c r="A36" s="23" t="inlineStr">
        <is>
          <t>M-017</t>
        </is>
      </c>
      <c r="B36" s="23" t="inlineStr">
        <is>
          <t>11203-0061F000</t>
        </is>
      </c>
      <c r="C36" s="23" t="inlineStr">
        <is>
          <t>11G232122311320</t>
        </is>
      </c>
      <c r="D36" s="23" t="n">
        <v>2</v>
      </c>
      <c r="E36" s="23" t="n">
        <v>1</v>
      </c>
      <c r="F36" s="23" t="inlineStr">
        <is>
          <t>C5707</t>
        </is>
      </c>
      <c r="G36" s="23" t="inlineStr">
        <is>
          <t>Update 1 RefDes</t>
        </is>
      </c>
      <c r="H36" s="23" t="inlineStr">
        <is>
          <t>Voltage
16V → 50V</t>
        </is>
      </c>
      <c r="I36" s="23" t="inlineStr">
        <is>
          <t>0402</t>
        </is>
      </c>
      <c r="J36" s="23" t="inlineStr">
        <is>
          <t>16V → 50V</t>
        </is>
      </c>
      <c r="K36" s="23" t="inlineStr">
        <is>
          <t>X7R</t>
        </is>
      </c>
      <c r="L36" s="23" t="inlineStr"/>
    </row>
    <row r="37">
      <c r="A37" s="21" t="inlineStr">
        <is>
          <t>M-018</t>
        </is>
      </c>
      <c r="B37" s="22" t="inlineStr">
        <is>
          <t>11G233247515150</t>
        </is>
      </c>
      <c r="C37" s="22" t="inlineStr"/>
      <c r="D37" s="22" t="n">
        <v>11</v>
      </c>
      <c r="E37" s="22" t="inlineStr"/>
      <c r="F37" s="22" t="inlineStr"/>
      <c r="G37" s="22" t="inlineStr"/>
      <c r="H37" s="22" t="inlineStr">
        <is>
          <t>KEEP</t>
        </is>
      </c>
      <c r="I37" s="22" t="inlineStr">
        <is>
          <t>0603</t>
        </is>
      </c>
      <c r="J37" s="22" t="inlineStr">
        <is>
          <t>6.3V</t>
        </is>
      </c>
      <c r="K37" s="22" t="inlineStr">
        <is>
          <t>X5R</t>
        </is>
      </c>
      <c r="L37" s="22" t="inlineStr"/>
    </row>
    <row r="38">
      <c r="A38" s="23" t="inlineStr">
        <is>
          <t>M-018</t>
        </is>
      </c>
      <c r="B38" s="23" t="inlineStr">
        <is>
          <t>11G233247515150</t>
        </is>
      </c>
      <c r="C38" s="23" t="inlineStr">
        <is>
          <t>11204-0010D000</t>
        </is>
      </c>
      <c r="D38" s="23" t="n">
        <v>11</v>
      </c>
      <c r="E38" s="23" t="n">
        <v>1</v>
      </c>
      <c r="F38" s="23" t="inlineStr">
        <is>
          <t>PC0601</t>
        </is>
      </c>
      <c r="G38" s="23" t="inlineStr">
        <is>
          <t>Update 1 RefDes</t>
        </is>
      </c>
      <c r="H38" s="23" t="inlineStr">
        <is>
          <t>Voltage
25V → 6.3V</t>
        </is>
      </c>
      <c r="I38" s="23" t="inlineStr">
        <is>
          <t>0603</t>
        </is>
      </c>
      <c r="J38" s="23" t="inlineStr">
        <is>
          <t>25V → 6.3V</t>
        </is>
      </c>
      <c r="K38" s="23" t="inlineStr">
        <is>
          <t>X5R</t>
        </is>
      </c>
      <c r="L38" s="23" t="inlineStr"/>
    </row>
    <row r="39">
      <c r="A39" s="21" t="inlineStr">
        <is>
          <t>M-019</t>
        </is>
      </c>
      <c r="B39" s="22" t="inlineStr">
        <is>
          <t>11G232247415150</t>
        </is>
      </c>
      <c r="C39" s="22" t="inlineStr"/>
      <c r="D39" s="22" t="n">
        <v>1</v>
      </c>
      <c r="E39" s="22" t="inlineStr"/>
      <c r="F39" s="22" t="inlineStr"/>
      <c r="G39" s="22" t="inlineStr"/>
      <c r="H39" s="22" t="inlineStr">
        <is>
          <t>KEEP</t>
        </is>
      </c>
      <c r="I39" s="22" t="inlineStr">
        <is>
          <t>0402</t>
        </is>
      </c>
      <c r="J39" s="22" t="inlineStr">
        <is>
          <t>6.3V</t>
        </is>
      </c>
      <c r="K39" s="22" t="inlineStr">
        <is>
          <t>X5R</t>
        </is>
      </c>
      <c r="L39" s="22" t="inlineStr"/>
    </row>
    <row r="40">
      <c r="A40" s="23" t="inlineStr">
        <is>
          <t>M-019</t>
        </is>
      </c>
      <c r="B40" s="23" t="inlineStr">
        <is>
          <t>11G232247415150</t>
        </is>
      </c>
      <c r="C40" s="23" t="inlineStr">
        <is>
          <t>11203-0135D000</t>
        </is>
      </c>
      <c r="D40" s="23" t="n">
        <v>1</v>
      </c>
      <c r="E40" s="23" t="n">
        <v>1</v>
      </c>
      <c r="F40" s="23" t="inlineStr">
        <is>
          <t>C8128</t>
        </is>
      </c>
      <c r="G40" s="23" t="inlineStr">
        <is>
          <t>Update 1 RefDes</t>
        </is>
      </c>
      <c r="H40" s="23" t="inlineStr">
        <is>
          <t>Voltage
16V → 6.3V</t>
        </is>
      </c>
      <c r="I40" s="23" t="inlineStr">
        <is>
          <t>0402</t>
        </is>
      </c>
      <c r="J40" s="23" t="inlineStr">
        <is>
          <t>16V → 6.3V</t>
        </is>
      </c>
      <c r="K40" s="23" t="inlineStr">
        <is>
          <t>X5R</t>
        </is>
      </c>
      <c r="L40" s="23" t="inlineStr"/>
    </row>
    <row r="41">
      <c r="A41" s="21" t="inlineStr">
        <is>
          <t>M-020</t>
        </is>
      </c>
      <c r="B41" s="22" t="inlineStr">
        <is>
          <t>11G232122214390</t>
        </is>
      </c>
      <c r="C41" s="22" t="inlineStr"/>
      <c r="D41" s="22" t="n">
        <v>1</v>
      </c>
      <c r="E41" s="22" t="inlineStr"/>
      <c r="F41" s="22" t="inlineStr"/>
      <c r="G41" s="22" t="inlineStr"/>
      <c r="H41" s="22" t="inlineStr">
        <is>
          <t>KEEP</t>
        </is>
      </c>
      <c r="I41" s="22" t="inlineStr">
        <is>
          <t>0402</t>
        </is>
      </c>
      <c r="J41" s="22" t="inlineStr">
        <is>
          <t>50V</t>
        </is>
      </c>
      <c r="K41" s="22" t="inlineStr">
        <is>
          <t>X7R</t>
        </is>
      </c>
      <c r="L41" s="22" t="inlineStr"/>
    </row>
    <row r="42">
      <c r="A42" s="23" t="inlineStr">
        <is>
          <t>M-020</t>
        </is>
      </c>
      <c r="B42" s="23" t="inlineStr">
        <is>
          <t>11G232122214390</t>
        </is>
      </c>
      <c r="C42" s="23" t="inlineStr">
        <is>
          <t>11G232222214320</t>
        </is>
      </c>
      <c r="D42" s="23" t="n">
        <v>1</v>
      </c>
      <c r="E42" s="23" t="n">
        <v>1</v>
      </c>
      <c r="F42" s="23" t="inlineStr">
        <is>
          <t>C8116</t>
        </is>
      </c>
      <c r="G42" s="23" t="inlineStr">
        <is>
          <t>Update 1 RefDes</t>
        </is>
      </c>
      <c r="H42" s="23" t="inlineStr">
        <is>
          <t>Vendor
Murata → Mlcc 2200Pf
Material
X5R → X7R</t>
        </is>
      </c>
      <c r="I42" s="23" t="inlineStr">
        <is>
          <t>0402</t>
        </is>
      </c>
      <c r="J42" s="23" t="inlineStr">
        <is>
          <t>50V</t>
        </is>
      </c>
      <c r="K42" s="23" t="inlineStr">
        <is>
          <t>X5R → X7R</t>
        </is>
      </c>
      <c r="L42" s="23" t="inlineStr"/>
    </row>
    <row r="43">
      <c r="A43" s="21" t="inlineStr">
        <is>
          <t>M-021</t>
        </is>
      </c>
      <c r="B43" s="22" t="inlineStr">
        <is>
          <t>11204-0036F000</t>
        </is>
      </c>
      <c r="C43" s="22" t="inlineStr"/>
      <c r="D43" s="22" t="n">
        <v>55</v>
      </c>
      <c r="E43" s="22" t="inlineStr"/>
      <c r="F43" s="22" t="inlineStr"/>
      <c r="G43" s="22" t="inlineStr"/>
      <c r="H43" s="22" t="inlineStr">
        <is>
          <t>KEEP</t>
        </is>
      </c>
      <c r="I43" s="22" t="inlineStr">
        <is>
          <t>0603</t>
        </is>
      </c>
      <c r="J43" s="22" t="inlineStr">
        <is>
          <t>6.3V</t>
        </is>
      </c>
      <c r="K43" s="22" t="inlineStr">
        <is>
          <t>X6S</t>
        </is>
      </c>
      <c r="L43" s="22" t="inlineStr"/>
    </row>
    <row r="44">
      <c r="A44" s="23" t="inlineStr">
        <is>
          <t>M-021</t>
        </is>
      </c>
      <c r="B44" s="23" t="inlineStr">
        <is>
          <t>11204-0036F000</t>
        </is>
      </c>
      <c r="C44" s="23" t="inlineStr">
        <is>
          <t>11G233222625320</t>
        </is>
      </c>
      <c r="D44" s="23" t="n">
        <v>55</v>
      </c>
      <c r="E44" s="23" t="n">
        <v>45</v>
      </c>
      <c r="F44" s="23" t="inlineStr">
        <is>
          <t>C6712
C6811
C6812
C6911
C6912
C7121
C7129
C7311
C7324
C7604
C7617
C7619
C7620
C7621
PC1102
PC1106
PC1107
PC1125
PC1126
PC1209
PC1210
PC1238
PC1244
PC1245
PC1251
PC1252
PC1306
PC1307
PC1308
PC1310
PC1311
PC1312
PC1313
PC1904
PC1905
PC1909
PC1910
PO1101
PO1102
PO1103
PO1104
PO1201
PO1302
PO1901
PO1902</t>
        </is>
      </c>
      <c r="G44" s="23" t="inlineStr">
        <is>
          <t>Update 45 RefDes</t>
        </is>
      </c>
      <c r="H44" s="23" t="inlineStr">
        <is>
          <t>Material
X5R → X6S</t>
        </is>
      </c>
      <c r="I44" s="23" t="inlineStr">
        <is>
          <t>0603</t>
        </is>
      </c>
      <c r="J44" s="23" t="inlineStr">
        <is>
          <t>6.3V</t>
        </is>
      </c>
      <c r="K44" s="23" t="inlineStr">
        <is>
          <t>X5R → X6S</t>
        </is>
      </c>
      <c r="L44" s="23" t="inlineStr"/>
    </row>
    <row r="45">
      <c r="A45" s="21" t="inlineStr">
        <is>
          <t>M-022</t>
        </is>
      </c>
      <c r="B45" s="22" t="inlineStr">
        <is>
          <t>11203-0241F000</t>
        </is>
      </c>
      <c r="C45" s="22" t="inlineStr"/>
      <c r="D45" s="22" t="n">
        <v>8</v>
      </c>
      <c r="E45" s="22" t="inlineStr"/>
      <c r="F45" s="22" t="inlineStr"/>
      <c r="G45" s="22" t="inlineStr"/>
      <c r="H45" s="22" t="inlineStr">
        <is>
          <t>KEEP</t>
        </is>
      </c>
      <c r="I45" s="22" t="inlineStr">
        <is>
          <t>0402</t>
        </is>
      </c>
      <c r="J45" s="22" t="inlineStr">
        <is>
          <t>6.3V</t>
        </is>
      </c>
      <c r="K45" s="22" t="inlineStr">
        <is>
          <t>X6S</t>
        </is>
      </c>
      <c r="L45" s="22" t="inlineStr"/>
    </row>
    <row r="46">
      <c r="A46" s="23" t="inlineStr">
        <is>
          <t>M-022</t>
        </is>
      </c>
      <c r="B46" s="23" t="inlineStr">
        <is>
          <t>11203-0241F000</t>
        </is>
      </c>
      <c r="C46" s="23" t="inlineStr">
        <is>
          <t>11G232247525150</t>
        </is>
      </c>
      <c r="D46" s="23" t="n">
        <v>8</v>
      </c>
      <c r="E46" s="23" t="n">
        <v>8</v>
      </c>
      <c r="F46" s="23" t="inlineStr">
        <is>
          <t>C5631
C6708
C6711
C6715
C7603
C7616
C7631
C8114</t>
        </is>
      </c>
      <c r="G46" s="23" t="inlineStr">
        <is>
          <t>Update 8 RefDes</t>
        </is>
      </c>
      <c r="H46" s="23" t="inlineStr">
        <is>
          <t>Vendor
Samsung → Murata
Material
X5R → X6S</t>
        </is>
      </c>
      <c r="I46" s="23" t="inlineStr">
        <is>
          <t>0402</t>
        </is>
      </c>
      <c r="J46" s="23" t="inlineStr">
        <is>
          <t>6.3V</t>
        </is>
      </c>
      <c r="K46" s="23" t="inlineStr">
        <is>
          <t>X5R → X6S</t>
        </is>
      </c>
      <c r="L46" s="23" t="inlineStr"/>
    </row>
    <row r="47">
      <c r="A47" s="21" t="inlineStr"/>
      <c r="B47" s="22" t="inlineStr"/>
      <c r="C47" s="22" t="inlineStr"/>
      <c r="D47" s="22" t="inlineStr"/>
      <c r="E47" s="22" t="inlineStr"/>
      <c r="F47" s="22" t="inlineStr"/>
      <c r="G47" s="22" t="inlineStr"/>
      <c r="H47" s="22" t="inlineStr"/>
      <c r="I47" s="22" t="inlineStr"/>
      <c r="J47" s="22" t="inlineStr"/>
      <c r="K47" s="22" t="inlineStr"/>
      <c r="L47" s="22" t="inlineStr"/>
    </row>
    <row r="48">
      <c r="A48" s="21" t="inlineStr"/>
      <c r="B48" s="22" t="inlineStr"/>
      <c r="C48" s="22" t="inlineStr"/>
      <c r="D48" s="22" t="inlineStr"/>
      <c r="E48" s="22" t="inlineStr"/>
      <c r="F48" s="22" t="inlineStr"/>
      <c r="G48" s="22" t="inlineStr"/>
      <c r="H48" s="22" t="inlineStr"/>
      <c r="I48" s="22" t="inlineStr"/>
      <c r="J48" s="22" t="inlineStr"/>
      <c r="K48" s="22" t="inlineStr"/>
      <c r="L48" s="22" t="inlineStr"/>
    </row>
    <row r="49">
      <c r="A49" s="21" t="inlineStr"/>
      <c r="B49" s="22" t="inlineStr"/>
      <c r="C49" s="22" t="inlineStr"/>
      <c r="D49" s="22" t="inlineStr"/>
      <c r="E49" s="22" t="inlineStr"/>
      <c r="F49" s="22" t="inlineStr"/>
      <c r="G49" s="22" t="inlineStr"/>
      <c r="H49" s="22" t="inlineStr"/>
      <c r="I49" s="22" t="inlineStr"/>
      <c r="J49" s="22" t="inlineStr"/>
      <c r="K49" s="22" t="inlineStr"/>
      <c r="L49" s="22" t="inlineStr"/>
    </row>
    <row r="50">
      <c r="A50" s="21" t="inlineStr"/>
      <c r="B50" s="22" t="inlineStr"/>
      <c r="C50" s="22" t="inlineStr"/>
      <c r="D50" s="22" t="inlineStr"/>
      <c r="E50" s="22" t="inlineStr"/>
      <c r="F50" s="22" t="inlineStr"/>
      <c r="G50" s="22" t="inlineStr"/>
      <c r="H50" s="22" t="inlineStr"/>
      <c r="I50" s="22" t="inlineStr"/>
      <c r="J50" s="22" t="inlineStr"/>
      <c r="K50" s="22" t="inlineStr"/>
      <c r="L50" s="22" t="inlineStr"/>
    </row>
    <row r="51">
      <c r="A51" s="21" t="inlineStr"/>
      <c r="B51" s="22" t="inlineStr"/>
      <c r="C51" s="22" t="inlineStr"/>
      <c r="D51" s="22" t="inlineStr"/>
      <c r="E51" s="22" t="inlineStr"/>
      <c r="F51" s="22" t="inlineStr"/>
      <c r="G51" s="22" t="inlineStr"/>
      <c r="H51" s="22" t="inlineStr"/>
      <c r="I51" s="22" t="inlineStr"/>
      <c r="J51" s="22" t="inlineStr"/>
      <c r="K51" s="22" t="inlineStr"/>
      <c r="L51" s="22" t="inlineStr"/>
    </row>
    <row r="52">
      <c r="A52" s="21" t="inlineStr"/>
      <c r="B52" s="22" t="inlineStr"/>
      <c r="C52" s="22" t="inlineStr"/>
      <c r="D52" s="22" t="inlineStr"/>
      <c r="E52" s="22" t="inlineStr"/>
      <c r="F52" s="22" t="inlineStr"/>
      <c r="G52" s="22" t="inlineStr"/>
      <c r="H52" s="22" t="inlineStr"/>
      <c r="I52" s="22" t="inlineStr"/>
      <c r="J52" s="22" t="inlineStr"/>
      <c r="K52" s="22" t="inlineStr"/>
      <c r="L52" s="22" t="inlineStr"/>
    </row>
    <row r="53">
      <c r="A53" s="21" t="inlineStr"/>
      <c r="B53" s="22" t="inlineStr"/>
      <c r="C53" s="22" t="inlineStr"/>
      <c r="D53" s="22" t="inlineStr"/>
      <c r="E53" s="22" t="inlineStr"/>
      <c r="F53" s="22" t="inlineStr"/>
      <c r="G53" s="22" t="inlineStr"/>
      <c r="H53" s="22" t="inlineStr"/>
      <c r="I53" s="22" t="inlineStr"/>
      <c r="J53" s="22" t="inlineStr"/>
      <c r="K53" s="22" t="inlineStr"/>
      <c r="L53" s="22" t="inlineStr"/>
    </row>
    <row r="54">
      <c r="A54" s="21" t="inlineStr"/>
      <c r="B54" s="22" t="inlineStr"/>
      <c r="C54" s="22" t="inlineStr"/>
      <c r="D54" s="22" t="inlineStr"/>
      <c r="E54" s="22" t="inlineStr"/>
      <c r="F54" s="22" t="inlineStr"/>
      <c r="G54" s="22" t="inlineStr"/>
      <c r="H54" s="22" t="inlineStr"/>
      <c r="I54" s="22" t="inlineStr"/>
      <c r="J54" s="22" t="inlineStr"/>
      <c r="K54" s="22" t="inlineStr"/>
      <c r="L54" s="22" t="inlineStr"/>
    </row>
    <row r="55">
      <c r="A55" s="21" t="inlineStr"/>
      <c r="B55" s="22" t="inlineStr"/>
      <c r="C55" s="22" t="inlineStr"/>
      <c r="D55" s="22" t="inlineStr"/>
      <c r="E55" s="22" t="inlineStr"/>
      <c r="F55" s="22" t="inlineStr"/>
      <c r="G55" s="22" t="inlineStr"/>
      <c r="H55" s="22" t="inlineStr"/>
      <c r="I55" s="22" t="inlineStr"/>
      <c r="J55" s="22" t="inlineStr"/>
      <c r="K55" s="22" t="inlineStr"/>
      <c r="L55" s="22" t="inlineStr"/>
    </row>
    <row r="56">
      <c r="A56" s="21" t="inlineStr"/>
      <c r="B56" s="22" t="inlineStr"/>
      <c r="C56" s="22" t="inlineStr"/>
      <c r="D56" s="22" t="inlineStr"/>
      <c r="E56" s="22" t="inlineStr"/>
      <c r="F56" s="22" t="inlineStr"/>
      <c r="G56" s="22" t="inlineStr"/>
      <c r="H56" s="22" t="inlineStr"/>
      <c r="I56" s="22" t="inlineStr"/>
      <c r="J56" s="22" t="inlineStr"/>
      <c r="K56" s="22" t="inlineStr"/>
      <c r="L56" s="22" t="inlineStr"/>
    </row>
    <row r="57">
      <c r="A57" s="21" t="inlineStr"/>
      <c r="B57" s="22" t="inlineStr"/>
      <c r="C57" s="22" t="inlineStr"/>
      <c r="D57" s="22" t="inlineStr"/>
      <c r="E57" s="22" t="inlineStr"/>
      <c r="F57" s="22" t="inlineStr"/>
      <c r="G57" s="22" t="inlineStr"/>
      <c r="H57" s="22" t="inlineStr"/>
      <c r="I57" s="22" t="inlineStr"/>
      <c r="J57" s="22" t="inlineStr"/>
      <c r="K57" s="22" t="inlineStr"/>
      <c r="L57" s="22" t="inlineStr"/>
    </row>
    <row r="58">
      <c r="A58" s="21" t="inlineStr"/>
      <c r="B58" s="22" t="inlineStr"/>
      <c r="C58" s="22" t="inlineStr"/>
      <c r="D58" s="22" t="inlineStr"/>
      <c r="E58" s="22" t="inlineStr"/>
      <c r="F58" s="22" t="inlineStr"/>
      <c r="G58" s="22" t="inlineStr"/>
      <c r="H58" s="22" t="inlineStr"/>
      <c r="I58" s="22" t="inlineStr"/>
      <c r="J58" s="22" t="inlineStr"/>
      <c r="K58" s="22" t="inlineStr"/>
      <c r="L58" s="22" t="inlineStr"/>
    </row>
    <row r="59">
      <c r="A59" s="21" t="inlineStr"/>
      <c r="B59" s="22" t="inlineStr"/>
      <c r="C59" s="22" t="inlineStr"/>
      <c r="D59" s="22" t="inlineStr"/>
      <c r="E59" s="22" t="inlineStr"/>
      <c r="F59" s="22" t="inlineStr"/>
      <c r="G59" s="22" t="inlineStr"/>
      <c r="H59" s="22" t="inlineStr"/>
      <c r="I59" s="22" t="inlineStr"/>
      <c r="J59" s="22" t="inlineStr"/>
      <c r="K59" s="22" t="inlineStr"/>
      <c r="L59" s="22" t="inlineStr"/>
    </row>
    <row r="60">
      <c r="A60" s="21" t="inlineStr"/>
      <c r="B60" s="22" t="inlineStr"/>
      <c r="C60" s="22" t="inlineStr"/>
      <c r="D60" s="22" t="inlineStr"/>
      <c r="E60" s="22" t="inlineStr"/>
      <c r="F60" s="22" t="inlineStr"/>
      <c r="G60" s="22" t="inlineStr"/>
      <c r="H60" s="22" t="inlineStr"/>
      <c r="I60" s="22" t="inlineStr"/>
      <c r="J60" s="22" t="inlineStr"/>
      <c r="K60" s="22" t="inlineStr"/>
      <c r="L60" s="22" t="inlineStr"/>
    </row>
    <row r="61">
      <c r="A61" s="21" t="inlineStr"/>
      <c r="B61" s="22" t="inlineStr"/>
      <c r="C61" s="22" t="inlineStr"/>
      <c r="D61" s="22" t="inlineStr"/>
      <c r="E61" s="22" t="inlineStr"/>
      <c r="F61" s="22" t="inlineStr"/>
      <c r="G61" s="22" t="inlineStr"/>
      <c r="H61" s="22" t="inlineStr"/>
      <c r="I61" s="22" t="inlineStr"/>
      <c r="J61" s="22" t="inlineStr"/>
      <c r="K61" s="22" t="inlineStr"/>
      <c r="L61" s="22" t="inlineStr"/>
    </row>
    <row r="62">
      <c r="A62" s="21" t="inlineStr"/>
      <c r="B62" s="22" t="inlineStr"/>
      <c r="C62" s="22" t="inlineStr"/>
      <c r="D62" s="22" t="inlineStr"/>
      <c r="E62" s="22" t="inlineStr"/>
      <c r="F62" s="22" t="inlineStr"/>
      <c r="G62" s="22" t="inlineStr"/>
      <c r="H62" s="22" t="inlineStr"/>
      <c r="I62" s="22" t="inlineStr"/>
      <c r="J62" s="22" t="inlineStr"/>
      <c r="K62" s="22" t="inlineStr"/>
      <c r="L62" s="22" t="inlineStr"/>
    </row>
    <row r="63">
      <c r="A63" s="21" t="inlineStr"/>
      <c r="B63" s="22" t="inlineStr"/>
      <c r="C63" s="22" t="inlineStr"/>
      <c r="D63" s="22" t="inlineStr"/>
      <c r="E63" s="22" t="inlineStr"/>
      <c r="F63" s="22" t="inlineStr"/>
      <c r="G63" s="22" t="inlineStr"/>
      <c r="H63" s="22" t="inlineStr"/>
      <c r="I63" s="22" t="inlineStr"/>
      <c r="J63" s="22" t="inlineStr"/>
      <c r="K63" s="22" t="inlineStr"/>
      <c r="L63" s="22" t="inlineStr"/>
    </row>
    <row r="64">
      <c r="A64" s="21" t="inlineStr"/>
      <c r="B64" s="22" t="inlineStr"/>
      <c r="C64" s="22" t="inlineStr"/>
      <c r="D64" s="22" t="inlineStr"/>
      <c r="E64" s="22" t="inlineStr"/>
      <c r="F64" s="22" t="inlineStr"/>
      <c r="G64" s="22" t="inlineStr"/>
      <c r="H64" s="22" t="inlineStr"/>
      <c r="I64" s="22" t="inlineStr"/>
      <c r="J64" s="22" t="inlineStr"/>
      <c r="K64" s="22" t="inlineStr"/>
      <c r="L64" s="22" t="inlineStr"/>
    </row>
    <row r="65">
      <c r="A65" s="21" t="inlineStr"/>
      <c r="B65" s="22" t="inlineStr"/>
      <c r="C65" s="22" t="inlineStr"/>
      <c r="D65" s="22" t="inlineStr"/>
      <c r="E65" s="22" t="inlineStr"/>
      <c r="F65" s="22" t="inlineStr"/>
      <c r="G65" s="22" t="inlineStr"/>
      <c r="H65" s="22" t="inlineStr"/>
      <c r="I65" s="22" t="inlineStr"/>
      <c r="J65" s="22" t="inlineStr"/>
      <c r="K65" s="22" t="inlineStr"/>
      <c r="L65" s="22" t="inlineStr"/>
    </row>
    <row r="66">
      <c r="A66" s="21" t="inlineStr"/>
      <c r="B66" s="22" t="inlineStr"/>
      <c r="C66" s="22" t="inlineStr"/>
      <c r="D66" s="22" t="inlineStr"/>
      <c r="E66" s="22" t="inlineStr"/>
      <c r="F66" s="22" t="inlineStr"/>
      <c r="G66" s="22" t="inlineStr"/>
      <c r="H66" s="22" t="inlineStr"/>
      <c r="I66" s="22" t="inlineStr"/>
      <c r="J66" s="22" t="inlineStr"/>
      <c r="K66" s="22" t="inlineStr"/>
      <c r="L66" s="22" t="inlineStr"/>
    </row>
    <row r="67">
      <c r="A67" s="21" t="inlineStr"/>
      <c r="B67" s="22" t="inlineStr"/>
      <c r="C67" s="22" t="inlineStr"/>
      <c r="D67" s="22" t="inlineStr"/>
      <c r="E67" s="22" t="inlineStr"/>
      <c r="F67" s="22" t="inlineStr"/>
      <c r="G67" s="22" t="inlineStr"/>
      <c r="H67" s="22" t="inlineStr"/>
      <c r="I67" s="22" t="inlineStr"/>
      <c r="J67" s="22" t="inlineStr"/>
      <c r="K67" s="22" t="inlineStr"/>
      <c r="L67" s="22" t="inlineStr"/>
    </row>
    <row r="68">
      <c r="A68" s="21" t="inlineStr"/>
      <c r="B68" s="22" t="inlineStr"/>
      <c r="C68" s="22" t="inlineStr"/>
      <c r="D68" s="22" t="inlineStr"/>
      <c r="E68" s="22" t="inlineStr"/>
      <c r="F68" s="22" t="inlineStr"/>
      <c r="G68" s="22" t="inlineStr"/>
      <c r="H68" s="22" t="inlineStr"/>
      <c r="I68" s="22" t="inlineStr"/>
      <c r="J68" s="22" t="inlineStr"/>
      <c r="K68" s="22" t="inlineStr"/>
      <c r="L68" s="22" t="inlineStr"/>
    </row>
  </sheetData>
  <autoFilter ref="A1:L68"/>
  <conditionalFormatting sqref="L2:L68">
    <cfRule type="expression" priority="1" dxfId="0">
      <formula>$L2="🟢 Merge"</formula>
    </cfRule>
    <cfRule type="expression" priority="2" dxfId="1">
      <formula>$L2="🟡 Review"</formula>
    </cfRule>
    <cfRule type="expression" priority="3" dxfId="2">
      <formula>$L2="⚪ Keep"</formula>
    </cfRule>
  </conditionalFormatting>
  <dataValidations count="1">
    <dataValidation sqref="L2:L1048576" showDropDown="0" showInputMessage="0" showErrorMessage="0" allowBlank="1" errorTitle="Invalid BOM Action" error="Please choose Merge, Review, or Keep." promptTitle="BOM Action" prompt="Select the BOM action for this merge row." type="list">
      <formula1>"🟢 Merge,🟡 Review,⚪ Keep"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showGridLines="0"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8" customWidth="1" min="4" max="4"/>
    <col width="18" customWidth="1" min="5" max="5"/>
    <col width="12" customWidth="1" min="6" max="6"/>
    <col width="36" customWidth="1" min="7" max="7"/>
    <col hidden="1" width="11" customWidth="1" min="8" max="8"/>
  </cols>
  <sheetData>
    <row r="1" ht="30" customHeight="1">
      <c r="A1" s="14" t="inlineStr">
        <is>
          <t>Value</t>
        </is>
      </c>
      <c r="B1" s="14" t="inlineStr">
        <is>
          <t>PN Count</t>
        </is>
      </c>
      <c r="C1" s="14" t="inlineStr">
        <is>
          <t>Total Qty</t>
        </is>
      </c>
      <c r="D1" s="14" t="inlineStr">
        <is>
          <t>Action / Target PN</t>
        </is>
      </c>
      <c r="E1" s="14" t="inlineStr">
        <is>
          <t>BOM Action</t>
        </is>
      </c>
      <c r="F1" s="14" t="inlineStr">
        <is>
          <t>Priority</t>
        </is>
      </c>
      <c r="G1" s="14" t="inlineStr">
        <is>
          <t>Reason (相似度分类)</t>
        </is>
      </c>
      <c r="H1" s="14" t="inlineStr">
        <is>
          <t>Group</t>
        </is>
      </c>
    </row>
    <row r="2">
      <c r="A2" s="19" t="inlineStr">
        <is>
          <t>11.8kOhm</t>
        </is>
      </c>
      <c r="B2" s="16" t="n">
        <v>1</v>
      </c>
      <c r="C2" s="16" t="n">
        <v>1</v>
      </c>
      <c r="D2" s="23" t="inlineStr">
        <is>
          <t>Review Required</t>
        </is>
      </c>
      <c r="E2" s="16">
        <f>IFERROR(IF(VLOOKUP($H2,'Resistor Detail'!$A:$K,10,FALSE)="","Pending",VLOOKUP($H2,'Resistor Detail'!$A:$K,10,FALSE)&amp;IF(VLOOKUP($H2,'Resistor Detail'!$A:$K,11,FALSE)="",""," → "&amp;VLOOKUP($H2,'Resistor Detail'!$A:$K,11,FALSE))),"Pending")</f>
        <v/>
      </c>
      <c r="F2" s="16" t="inlineStr">
        <is>
          <t>★★</t>
        </is>
      </c>
      <c r="G2" s="16" t="inlineStr">
        <is>
          <t>🟠 Near Value 11.8kΩ ➔ 12kΩ (-1.66%)
Target Value : 12kΩ
Package : 0402
Qty : 5 pcs
Difference : -1.66%</t>
        </is>
      </c>
      <c r="H2" s="16" t="inlineStr">
        <is>
          <t>R001</t>
        </is>
      </c>
    </row>
    <row r="3">
      <c r="A3" s="19" t="inlineStr">
        <is>
          <t>2.67kOhm</t>
        </is>
      </c>
      <c r="B3" s="15" t="n">
        <v>1</v>
      </c>
      <c r="C3" s="15" t="n">
        <v>1</v>
      </c>
      <c r="D3" s="23" t="inlineStr">
        <is>
          <t>Review Required</t>
        </is>
      </c>
      <c r="E3" s="15">
        <f>IFERROR(IF(VLOOKUP($H3,'Resistor Detail'!$A:$K,10,FALSE)="","Pending",VLOOKUP($H3,'Resistor Detail'!$A:$K,10,FALSE)&amp;IF(VLOOKUP($H3,'Resistor Detail'!$A:$K,11,FALSE)="",""," → "&amp;VLOOKUP($H3,'Resistor Detail'!$A:$K,11,FALSE))),"Pending")</f>
        <v/>
      </c>
      <c r="F3" s="15" t="inlineStr">
        <is>
          <t>★★</t>
        </is>
      </c>
      <c r="G3" s="15" t="inlineStr">
        <is>
          <t>🟠 Near Value 2.67kΩ ➔ 2.7kΩ (-1.11%)
Target Value : 2.7kΩ
Package : 0402
Qty : 12 pcs
Difference : -1.11%
Target Value : 2.74kΩ
Package : 0402
Qty : 1 pcs
Difference : -2.55%</t>
        </is>
      </c>
      <c r="H3" s="15" t="inlineStr">
        <is>
          <t>R002</t>
        </is>
      </c>
    </row>
    <row r="4">
      <c r="A4" s="19" t="inlineStr">
        <is>
          <t>2.74kOhm</t>
        </is>
      </c>
      <c r="B4" s="16" t="n">
        <v>1</v>
      </c>
      <c r="C4" s="16" t="n">
        <v>1</v>
      </c>
      <c r="D4" s="23" t="inlineStr">
        <is>
          <t>Review Required</t>
        </is>
      </c>
      <c r="E4" s="16">
        <f>IFERROR(IF(VLOOKUP($H4,'Resistor Detail'!$A:$K,10,FALSE)="","Pending",VLOOKUP($H4,'Resistor Detail'!$A:$K,10,FALSE)&amp;IF(VLOOKUP($H4,'Resistor Detail'!$A:$K,11,FALSE)="",""," → "&amp;VLOOKUP($H4,'Resistor Detail'!$A:$K,11,FALSE))),"Pending")</f>
        <v/>
      </c>
      <c r="F4" s="16" t="inlineStr">
        <is>
          <t>★★</t>
        </is>
      </c>
      <c r="G4" s="16" t="inlineStr">
        <is>
          <t>🟠 Near Value 2.74kΩ ➔ 2.7kΩ (+1.48%)
Target Value : 2.7kΩ
Package : 0402
Qty : 12 pcs
Difference : +1.48%
Target Value : 2.67kΩ
Package : 0402
Qty : 1 pcs
Difference : +2.62%</t>
        </is>
      </c>
      <c r="H4" s="16" t="inlineStr">
        <is>
          <t>R003</t>
        </is>
      </c>
    </row>
    <row r="5">
      <c r="A5" s="19" t="inlineStr">
        <is>
          <t>20.5kOhm</t>
        </is>
      </c>
      <c r="B5" s="15" t="n">
        <v>1</v>
      </c>
      <c r="C5" s="15" t="n">
        <v>1</v>
      </c>
      <c r="D5" s="23" t="inlineStr">
        <is>
          <t>Review Required</t>
        </is>
      </c>
      <c r="E5" s="15">
        <f>IFERROR(IF(VLOOKUP($H5,'Resistor Detail'!$A:$K,10,FALSE)="","Pending",VLOOKUP($H5,'Resistor Detail'!$A:$K,10,FALSE)&amp;IF(VLOOKUP($H5,'Resistor Detail'!$A:$K,11,FALSE)="",""," → "&amp;VLOOKUP($H5,'Resistor Detail'!$A:$K,11,FALSE))),"Pending")</f>
        <v/>
      </c>
      <c r="F5" s="15" t="inlineStr">
        <is>
          <t>★★</t>
        </is>
      </c>
      <c r="G5" s="15" t="inlineStr">
        <is>
          <t>🟠 Near Value 20.5kΩ ➔ 20kΩ (+2.5%)
Target Value : 20kΩ
Package : 0402
Qty : 9 pcs
Difference : +2.5%</t>
        </is>
      </c>
      <c r="H5" s="15" t="inlineStr">
        <is>
          <t>R004</t>
        </is>
      </c>
    </row>
    <row r="6">
      <c r="A6" s="19" t="inlineStr">
        <is>
          <t>22.1kOhm</t>
        </is>
      </c>
      <c r="B6" s="16" t="n">
        <v>1</v>
      </c>
      <c r="C6" s="16" t="n">
        <v>1</v>
      </c>
      <c r="D6" s="23" t="inlineStr">
        <is>
          <t>Review Required</t>
        </is>
      </c>
      <c r="E6" s="16">
        <f>IFERROR(IF(VLOOKUP($H6,'Resistor Detail'!$A:$K,10,FALSE)="","Pending",VLOOKUP($H6,'Resistor Detail'!$A:$K,10,FALSE)&amp;IF(VLOOKUP($H6,'Resistor Detail'!$A:$K,11,FALSE)="",""," → "&amp;VLOOKUP($H6,'Resistor Detail'!$A:$K,11,FALSE))),"Pending")</f>
        <v/>
      </c>
      <c r="F6" s="16" t="inlineStr">
        <is>
          <t>★★</t>
        </is>
      </c>
      <c r="G6" s="16" t="inlineStr">
        <is>
          <t>🟠 Near Value 22.1kΩ ➔ 22kΩ (+0.45%)
Target Value : 22kΩ
Package : 0402
Qty : 2 pcs
Difference : +0.45%</t>
        </is>
      </c>
      <c r="H6" s="16" t="inlineStr">
        <is>
          <t>R005</t>
        </is>
      </c>
    </row>
    <row r="7">
      <c r="A7" s="19" t="inlineStr">
        <is>
          <t>39.2kOhm</t>
        </is>
      </c>
      <c r="B7" s="15" t="n">
        <v>1</v>
      </c>
      <c r="C7" s="15" t="n">
        <v>1</v>
      </c>
      <c r="D7" s="23" t="inlineStr">
        <is>
          <t>Review Required</t>
        </is>
      </c>
      <c r="E7" s="15">
        <f>IFERROR(IF(VLOOKUP($H7,'Resistor Detail'!$A:$K,10,FALSE)="","Pending",VLOOKUP($H7,'Resistor Detail'!$A:$K,10,FALSE)&amp;IF(VLOOKUP($H7,'Resistor Detail'!$A:$K,11,FALSE)="",""," → "&amp;VLOOKUP($H7,'Resistor Detail'!$A:$K,11,FALSE))),"Pending")</f>
        <v/>
      </c>
      <c r="F7" s="15" t="inlineStr">
        <is>
          <t>★★</t>
        </is>
      </c>
      <c r="G7" s="15" t="inlineStr">
        <is>
          <t>🟠 Near Value 39.2kΩ ➔ 40.2kΩ (-2.49%)
Target Value : 40.2kΩ
Package : 0402
Qty : 2 pcs
Difference : -2.49%</t>
        </is>
      </c>
      <c r="H7" s="15" t="inlineStr">
        <is>
          <t>R006</t>
        </is>
      </c>
    </row>
    <row r="8">
      <c r="A8" s="19" t="inlineStr">
        <is>
          <t>51Ohm</t>
        </is>
      </c>
      <c r="B8" s="16" t="n">
        <v>1</v>
      </c>
      <c r="C8" s="16" t="n">
        <v>1</v>
      </c>
      <c r="D8" s="23" t="inlineStr">
        <is>
          <t>Review Required</t>
        </is>
      </c>
      <c r="E8" s="16">
        <f>IFERROR(IF(VLOOKUP($H8,'Resistor Detail'!$A:$K,10,FALSE)="","Pending",VLOOKUP($H8,'Resistor Detail'!$A:$K,10,FALSE)&amp;IF(VLOOKUP($H8,'Resistor Detail'!$A:$K,11,FALSE)="",""," → "&amp;VLOOKUP($H8,'Resistor Detail'!$A:$K,11,FALSE))),"Pending")</f>
        <v/>
      </c>
      <c r="F8" s="16" t="inlineStr">
        <is>
          <t>★★</t>
        </is>
      </c>
      <c r="G8" s="16" t="inlineStr">
        <is>
          <t>🟠 Near Value 51Ω ➔ 49.9Ω (+2.2%)
Target Value : 49.9Ω
Package : 0402
Qty : 8 pcs
Difference : +2.2%</t>
        </is>
      </c>
      <c r="H8" s="16" t="inlineStr">
        <is>
          <t>R007</t>
        </is>
      </c>
    </row>
    <row r="9">
      <c r="A9" s="19" t="inlineStr">
        <is>
          <t>10.2kOhm</t>
        </is>
      </c>
      <c r="B9" s="15" t="n">
        <v>1</v>
      </c>
      <c r="C9" s="15" t="n">
        <v>2</v>
      </c>
      <c r="D9" s="23" t="inlineStr">
        <is>
          <t>Review Required</t>
        </is>
      </c>
      <c r="E9" s="15">
        <f>IFERROR(IF(VLOOKUP($H9,'Resistor Detail'!$A:$K,10,FALSE)="","Pending",VLOOKUP($H9,'Resistor Detail'!$A:$K,10,FALSE)&amp;IF(VLOOKUP($H9,'Resistor Detail'!$A:$K,11,FALSE)="",""," → "&amp;VLOOKUP($H9,'Resistor Detail'!$A:$K,11,FALSE))),"Pending")</f>
        <v/>
      </c>
      <c r="F9" s="15" t="inlineStr">
        <is>
          <t>★★</t>
        </is>
      </c>
      <c r="G9" s="15" t="inlineStr">
        <is>
          <t>🟠 Near Value 10.2kΩ ➔ 10kΩ (+2%)
Target Value : 10kΩ
Package : 0402
Qty : 62 pcs
Difference : +2%
Target Value : 10.5kΩ
Package : 0402
Qty : 2 pcs
Difference : -2.86%</t>
        </is>
      </c>
      <c r="H9" s="15" t="inlineStr">
        <is>
          <t>R008</t>
        </is>
      </c>
    </row>
    <row r="10">
      <c r="A10" s="19" t="inlineStr">
        <is>
          <t>10Ohm</t>
        </is>
      </c>
      <c r="B10" s="16" t="n">
        <v>2</v>
      </c>
      <c r="C10" s="16" t="n">
        <v>4</v>
      </c>
      <c r="D10" s="23" t="inlineStr">
        <is>
          <t>Review Required</t>
        </is>
      </c>
      <c r="E10" s="16">
        <f>IFERROR(IF(VLOOKUP($H10,'Resistor Detail'!$A:$K,10,FALSE)="","Pending",VLOOKUP($H10,'Resistor Detail'!$A:$K,10,FALSE)&amp;IF(VLOOKUP($H10,'Resistor Detail'!$A:$K,11,FALSE)="",""," → "&amp;VLOOKUP($H10,'Resistor Detail'!$A:$K,11,FALSE))),"Pending")</f>
        <v/>
      </c>
      <c r="F10" s="16" t="inlineStr">
        <is>
          <t>★★★</t>
        </is>
      </c>
      <c r="G10" s="16" t="inlineStr">
        <is>
          <t>🟡 Package 0402⇄0603</t>
        </is>
      </c>
      <c r="H10" s="16" t="inlineStr">
        <is>
          <t>R009</t>
        </is>
      </c>
    </row>
    <row r="11">
      <c r="A11" s="19" t="inlineStr">
        <is>
          <t>8.2kOhm</t>
        </is>
      </c>
      <c r="B11" s="15" t="n">
        <v>2</v>
      </c>
      <c r="C11" s="15" t="n">
        <v>5</v>
      </c>
      <c r="D11" s="23" t="inlineStr">
        <is>
          <t>Review Required</t>
        </is>
      </c>
      <c r="E11" s="15">
        <f>IFERROR(IF(VLOOKUP($H11,'Resistor Detail'!$A:$K,10,FALSE)="","Pending",VLOOKUP($H11,'Resistor Detail'!$A:$K,10,FALSE)&amp;IF(VLOOKUP($H11,'Resistor Detail'!$A:$K,11,FALSE)="",""," → "&amp;VLOOKUP($H11,'Resistor Detail'!$A:$K,11,FALSE))),"Pending")</f>
        <v/>
      </c>
      <c r="F11" s="15" t="inlineStr">
        <is>
          <t>★★★</t>
        </is>
      </c>
      <c r="G11" s="15" t="inlineStr">
        <is>
          <t>🟡 Package 0603⇄0402</t>
        </is>
      </c>
      <c r="H11" s="15" t="inlineStr">
        <is>
          <t>R010</t>
        </is>
      </c>
    </row>
    <row r="12">
      <c r="A12" s="19" t="inlineStr">
        <is>
          <t>1Ohm</t>
        </is>
      </c>
      <c r="B12" s="16" t="n">
        <v>2</v>
      </c>
      <c r="C12" s="16" t="n">
        <v>7</v>
      </c>
      <c r="D12" s="23" t="inlineStr">
        <is>
          <t>Review Required</t>
        </is>
      </c>
      <c r="E12" s="16">
        <f>IFERROR(IF(VLOOKUP($H12,'Resistor Detail'!$A:$K,10,FALSE)="","Pending",VLOOKUP($H12,'Resistor Detail'!$A:$K,10,FALSE)&amp;IF(VLOOKUP($H12,'Resistor Detail'!$A:$K,11,FALSE)="",""," → "&amp;VLOOKUP($H12,'Resistor Detail'!$A:$K,11,FALSE))),"Pending")</f>
        <v/>
      </c>
      <c r="F12" s="16" t="inlineStr">
        <is>
          <t>★★★</t>
        </is>
      </c>
      <c r="G12" s="16" t="inlineStr">
        <is>
          <t>🟡 Package 0402⇄0603</t>
        </is>
      </c>
      <c r="H12" s="16" t="inlineStr">
        <is>
          <t>R011</t>
        </is>
      </c>
    </row>
    <row r="13">
      <c r="A13" s="19" t="inlineStr">
        <is>
          <t>4.7Ohm</t>
        </is>
      </c>
      <c r="B13" s="15" t="n">
        <v>2</v>
      </c>
      <c r="C13" s="15" t="n">
        <v>9</v>
      </c>
      <c r="D13" s="23" t="inlineStr">
        <is>
          <t>Review Required</t>
        </is>
      </c>
      <c r="E13" s="15">
        <f>IFERROR(IF(VLOOKUP($H13,'Resistor Detail'!$A:$K,10,FALSE)="","Pending",VLOOKUP($H13,'Resistor Detail'!$A:$K,10,FALSE)&amp;IF(VLOOKUP($H13,'Resistor Detail'!$A:$K,11,FALSE)="",""," → "&amp;VLOOKUP($H13,'Resistor Detail'!$A:$K,11,FALSE))),"Pending")</f>
        <v/>
      </c>
      <c r="F13" s="15" t="inlineStr">
        <is>
          <t>★★★</t>
        </is>
      </c>
      <c r="G13" s="15" t="inlineStr">
        <is>
          <t>🟡 Package 0402⇄0603</t>
        </is>
      </c>
      <c r="H13" s="15" t="inlineStr">
        <is>
          <t>R012</t>
        </is>
      </c>
    </row>
    <row r="14">
      <c r="A14" s="19" t="inlineStr">
        <is>
          <t>330Ohm</t>
        </is>
      </c>
      <c r="B14" s="16" t="n">
        <v>2</v>
      </c>
      <c r="C14" s="16" t="n">
        <v>11</v>
      </c>
      <c r="D14" s="23" t="inlineStr">
        <is>
          <t>Review Required</t>
        </is>
      </c>
      <c r="E14" s="16">
        <f>IFERROR(IF(VLOOKUP($H14,'Resistor Detail'!$A:$K,10,FALSE)="","Pending",VLOOKUP($H14,'Resistor Detail'!$A:$K,10,FALSE)&amp;IF(VLOOKUP($H14,'Resistor Detail'!$A:$K,11,FALSE)="",""," → "&amp;VLOOKUP($H14,'Resistor Detail'!$A:$K,11,FALSE))),"Pending")</f>
        <v/>
      </c>
      <c r="F14" s="16" t="inlineStr">
        <is>
          <t>★★★</t>
        </is>
      </c>
      <c r="G14" s="16" t="inlineStr">
        <is>
          <t>🟡 Package 0402⇄0603</t>
        </is>
      </c>
      <c r="H14" s="16" t="inlineStr">
        <is>
          <t>R013</t>
        </is>
      </c>
    </row>
    <row r="15">
      <c r="A15" s="19" t="inlineStr">
        <is>
          <t>100Ohm</t>
        </is>
      </c>
      <c r="B15" s="15" t="n">
        <v>2</v>
      </c>
      <c r="C15" s="15" t="n">
        <v>19</v>
      </c>
      <c r="D15" s="23" t="inlineStr">
        <is>
          <t>Review Required</t>
        </is>
      </c>
      <c r="E15" s="15">
        <f>IFERROR(IF(VLOOKUP($H15,'Resistor Detail'!$A:$K,10,FALSE)="","Pending",VLOOKUP($H15,'Resistor Detail'!$A:$K,10,FALSE)&amp;IF(VLOOKUP($H15,'Resistor Detail'!$A:$K,11,FALSE)="",""," → "&amp;VLOOKUP($H15,'Resistor Detail'!$A:$K,11,FALSE))),"Pending")</f>
        <v/>
      </c>
      <c r="F15" s="15" t="inlineStr">
        <is>
          <t>★★★</t>
        </is>
      </c>
      <c r="G15" s="15" t="inlineStr">
        <is>
          <t>🟡 Package 0201⇄0402</t>
        </is>
      </c>
      <c r="H15" s="15" t="inlineStr">
        <is>
          <t>R014</t>
        </is>
      </c>
    </row>
    <row r="16">
      <c r="A16" s="19" t="inlineStr">
        <is>
          <t>2.2Ohm</t>
        </is>
      </c>
      <c r="B16" s="16" t="n">
        <v>2</v>
      </c>
      <c r="C16" s="16" t="n">
        <v>19</v>
      </c>
      <c r="D16" s="23" t="inlineStr">
        <is>
          <t>Review Required</t>
        </is>
      </c>
      <c r="E16" s="16">
        <f>IFERROR(IF(VLOOKUP($H16,'Resistor Detail'!$A:$K,10,FALSE)="","Pending",VLOOKUP($H16,'Resistor Detail'!$A:$K,10,FALSE)&amp;IF(VLOOKUP($H16,'Resistor Detail'!$A:$K,11,FALSE)="",""," → "&amp;VLOOKUP($H16,'Resistor Detail'!$A:$K,11,FALSE))),"Pending")</f>
        <v/>
      </c>
      <c r="F16" s="16" t="inlineStr">
        <is>
          <t>★★★</t>
        </is>
      </c>
      <c r="G16" s="16" t="inlineStr">
        <is>
          <t>🟡 Package 0402⇄0603</t>
        </is>
      </c>
      <c r="H16" s="16" t="inlineStr">
        <is>
          <t>R015</t>
        </is>
      </c>
    </row>
    <row r="17">
      <c r="A17" s="19" t="inlineStr">
        <is>
          <t>1kOhm</t>
        </is>
      </c>
      <c r="B17" s="15" t="n">
        <v>2</v>
      </c>
      <c r="C17" s="15" t="n">
        <v>43</v>
      </c>
      <c r="D17" s="23" t="inlineStr">
        <is>
          <t>Review Required</t>
        </is>
      </c>
      <c r="E17" s="15">
        <f>IFERROR(IF(VLOOKUP($H17,'Resistor Detail'!$A:$K,10,FALSE)="","Pending",VLOOKUP($H17,'Resistor Detail'!$A:$K,10,FALSE)&amp;IF(VLOOKUP($H17,'Resistor Detail'!$A:$K,11,FALSE)="",""," → "&amp;VLOOKUP($H17,'Resistor Detail'!$A:$K,11,FALSE))),"Pending")</f>
        <v/>
      </c>
      <c r="F17" s="15" t="inlineStr">
        <is>
          <t>★★★</t>
        </is>
      </c>
      <c r="G17" s="15" t="inlineStr">
        <is>
          <t>🟡 Package 0402⇄1206</t>
        </is>
      </c>
      <c r="H17" s="15" t="inlineStr">
        <is>
          <t>R016</t>
        </is>
      </c>
    </row>
    <row r="18">
      <c r="A18" s="19" t="inlineStr">
        <is>
          <t>100kOhm</t>
        </is>
      </c>
      <c r="B18" s="16" t="n">
        <v>2</v>
      </c>
      <c r="C18" s="16" t="n">
        <v>70</v>
      </c>
      <c r="D18" s="23" t="inlineStr">
        <is>
          <t>Review Required</t>
        </is>
      </c>
      <c r="E18" s="16">
        <f>IFERROR(IF(VLOOKUP($H18,'Resistor Detail'!$A:$K,10,FALSE)="","Pending",VLOOKUP($H18,'Resistor Detail'!$A:$K,10,FALSE)&amp;IF(VLOOKUP($H18,'Resistor Detail'!$A:$K,11,FALSE)="",""," → "&amp;VLOOKUP($H18,'Resistor Detail'!$A:$K,11,FALSE))),"Pending")</f>
        <v/>
      </c>
      <c r="F18" s="16" t="inlineStr">
        <is>
          <t>★★★</t>
        </is>
      </c>
      <c r="G18" s="16" t="inlineStr">
        <is>
          <t>🟡 Package 0201⇄0402</t>
        </is>
      </c>
      <c r="H18" s="16" t="inlineStr">
        <is>
          <t>R017</t>
        </is>
      </c>
    </row>
    <row r="19">
      <c r="A19" s="19" t="inlineStr">
        <is>
          <t>0Ohm</t>
        </is>
      </c>
      <c r="B19" s="15" t="n">
        <v>2</v>
      </c>
      <c r="C19" s="15" t="n">
        <v>160</v>
      </c>
      <c r="D19" s="23" t="inlineStr">
        <is>
          <t>Review Required</t>
        </is>
      </c>
      <c r="E19" s="15">
        <f>IFERROR(IF(VLOOKUP($H19,'Resistor Detail'!$A:$K,10,FALSE)="","Pending",VLOOKUP($H19,'Resistor Detail'!$A:$K,10,FALSE)&amp;IF(VLOOKUP($H19,'Resistor Detail'!$A:$K,11,FALSE)="",""," → "&amp;VLOOKUP($H19,'Resistor Detail'!$A:$K,11,FALSE))),"Pending")</f>
        <v/>
      </c>
      <c r="F19" s="15" t="inlineStr">
        <is>
          <t>★★★</t>
        </is>
      </c>
      <c r="G19" s="15" t="inlineStr">
        <is>
          <t>🟡 Package 0402⇄0603</t>
        </is>
      </c>
      <c r="H19" s="15" t="inlineStr">
        <is>
          <t>R018</t>
        </is>
      </c>
    </row>
  </sheetData>
  <autoFilter ref="A1:H19"/>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9"/>
  <sheetViews>
    <sheetView showGridLines="0" workbookViewId="0">
      <pane ySplit="1" topLeftCell="A2" activePane="bottomLeft" state="frozen"/>
      <selection pane="bottomLeft" activeCell="A1" sqref="A1"/>
    </sheetView>
  </sheetViews>
  <sheetFormatPr baseColWidth="8" defaultRowHeight="15"/>
  <cols>
    <col hidden="1" width="11" customWidth="1" min="1" max="1"/>
    <col width="14" customWidth="1" min="2" max="2"/>
    <col width="14" customWidth="1" min="3" max="3"/>
    <col width="34" customWidth="1" min="4" max="4"/>
    <col width="18" customWidth="1" min="5" max="5"/>
    <col width="10" customWidth="1" min="6" max="6"/>
    <col width="14" customWidth="1" min="7" max="7"/>
    <col width="18" customWidth="1" min="8" max="8"/>
    <col width="18" customWidth="1" min="9" max="9"/>
    <col width="18" customWidth="1" min="10" max="10"/>
    <col width="24" customWidth="1" min="11" max="11"/>
  </cols>
  <sheetData>
    <row r="1" ht="30" customHeight="1">
      <c r="A1" s="14" t="inlineStr">
        <is>
          <t>Group</t>
        </is>
      </c>
      <c r="B1" s="14" t="inlineStr">
        <is>
          <t>Row Type</t>
        </is>
      </c>
      <c r="C1" s="14" t="inlineStr">
        <is>
          <t>Value</t>
        </is>
      </c>
      <c r="D1" s="14" t="inlineStr">
        <is>
          <t>Spec</t>
        </is>
      </c>
      <c r="E1" s="14" t="inlineStr">
        <is>
          <t>PN</t>
        </is>
      </c>
      <c r="F1" s="14" t="inlineStr">
        <is>
          <t>Qty</t>
        </is>
      </c>
      <c r="G1" s="14" t="inlineStr">
        <is>
          <t>Status</t>
        </is>
      </c>
      <c r="H1" s="14" t="inlineStr">
        <is>
          <t>Difference</t>
        </is>
      </c>
      <c r="I1" s="14" t="inlineStr">
        <is>
          <t>Why Listed</t>
        </is>
      </c>
      <c r="J1" s="14" t="inlineStr">
        <is>
          <t>BOM Action</t>
        </is>
      </c>
      <c r="K1" s="14" t="inlineStr">
        <is>
          <t>Merge Target</t>
        </is>
      </c>
    </row>
    <row r="2">
      <c r="A2" s="24" t="inlineStr">
        <is>
          <t>R001</t>
        </is>
      </c>
      <c r="B2" s="24" t="inlineStr">
        <is>
          <t>Value Header</t>
        </is>
      </c>
      <c r="C2" s="24" t="inlineStr">
        <is>
          <t>11.8kOhm</t>
        </is>
      </c>
      <c r="D2" s="24" t="inlineStr">
        <is>
          <t>1 PN  |  Total 1 pcs</t>
        </is>
      </c>
      <c r="E2" s="24" t="inlineStr"/>
      <c r="F2" s="24" t="inlineStr"/>
      <c r="G2" s="24" t="inlineStr"/>
      <c r="H2" s="24" t="inlineStr">
        <is>
          <t>12kΩ (-1.66%)</t>
        </is>
      </c>
      <c r="I2" s="24" t="inlineStr">
        <is>
          <t>🟠 Near Value 11.8kΩ ➔ 12kΩ (-1.66%)
Target Value : 12kΩ
Package : 0402
Qty : 5 pcs
Difference : -1.66%</t>
        </is>
      </c>
      <c r="J2" s="24" t="inlineStr"/>
      <c r="K2" s="24" t="inlineStr"/>
    </row>
    <row r="3">
      <c r="A3" s="25" t="inlineStr">
        <is>
          <t>R001</t>
        </is>
      </c>
      <c r="B3" s="25" t="inlineStr">
        <is>
          <t>Spec Header</t>
        </is>
      </c>
      <c r="C3" s="25" t="inlineStr">
        <is>
          <t>11.8kOhm</t>
        </is>
      </c>
      <c r="D3" s="25" t="inlineStr">
        <is>
          <t>11.8kOhm 1% 0402</t>
        </is>
      </c>
      <c r="E3" s="25" t="inlineStr"/>
      <c r="F3" s="25" t="n">
        <v>1</v>
      </c>
      <c r="G3" s="25" t="inlineStr">
        <is>
          <t>Same Spec Group</t>
        </is>
      </c>
      <c r="H3" s="25" t="inlineStr"/>
      <c r="I3" s="25" t="inlineStr">
        <is>
          <t>Qty=1</t>
        </is>
      </c>
      <c r="J3" s="25" t="inlineStr"/>
      <c r="K3" s="25" t="inlineStr"/>
    </row>
    <row r="4">
      <c r="A4" s="26" t="inlineStr">
        <is>
          <t>R001</t>
        </is>
      </c>
      <c r="B4" s="26" t="inlineStr">
        <is>
          <t>PN</t>
        </is>
      </c>
      <c r="C4" s="26" t="inlineStr">
        <is>
          <t>11.8kOhm</t>
        </is>
      </c>
      <c r="D4" s="26" t="inlineStr">
        <is>
          <t>11.8kOhm 1% 0402</t>
        </is>
      </c>
      <c r="E4" s="26" t="inlineStr">
        <is>
          <t>10G212118214050</t>
        </is>
      </c>
      <c r="F4" s="26" t="n">
        <v>1</v>
      </c>
      <c r="G4" s="26" t="inlineStr">
        <is>
          <t>Target</t>
        </is>
      </c>
      <c r="H4" s="26" t="inlineStr"/>
      <c r="I4" s="26" t="inlineStr">
        <is>
          <t>Qty=1</t>
        </is>
      </c>
      <c r="J4" s="26" t="inlineStr"/>
      <c r="K4" s="26" t="inlineStr"/>
    </row>
    <row r="5">
      <c r="A5" s="21" t="inlineStr">
        <is>
          <t>R001</t>
        </is>
      </c>
      <c r="B5" s="21" t="inlineStr">
        <is>
          <t>Candidate</t>
        </is>
      </c>
      <c r="C5" s="21" t="inlineStr">
        <is>
          <t>12kΩ</t>
        </is>
      </c>
      <c r="D5" s="21" t="inlineStr">
        <is>
          <t>1 PN  |  Total Qty : 5 pcs
Package : 0402</t>
        </is>
      </c>
      <c r="E5" s="21" t="inlineStr"/>
      <c r="F5" s="21" t="n">
        <v>5</v>
      </c>
      <c r="G5" s="21" t="inlineStr">
        <is>
          <t>Nearby Candidate</t>
        </is>
      </c>
      <c r="H5" s="21" t="inlineStr">
        <is>
          <t>'-1.66%</t>
        </is>
      </c>
      <c r="I5" s="21" t="inlineStr">
        <is>
          <t>Candidate Value</t>
        </is>
      </c>
      <c r="J5" s="21" t="inlineStr"/>
      <c r="K5" s="21" t="inlineStr"/>
    </row>
    <row r="6">
      <c r="A6" s="26" t="inlineStr">
        <is>
          <t>R001</t>
        </is>
      </c>
      <c r="B6" s="26" t="inlineStr">
        <is>
          <t>Candidate PN</t>
        </is>
      </c>
      <c r="C6" s="26" t="inlineStr">
        <is>
          <t>12kΩ</t>
        </is>
      </c>
      <c r="D6" s="26" t="inlineStr">
        <is>
          <t>12kOhm 1% 0402</t>
        </is>
      </c>
      <c r="E6" s="26" t="inlineStr">
        <is>
          <t>10G212120214050</t>
        </is>
      </c>
      <c r="F6" s="26" t="n">
        <v>5</v>
      </c>
      <c r="G6" s="26" t="inlineStr">
        <is>
          <t>Nearby Candidate</t>
        </is>
      </c>
      <c r="H6" s="26" t="inlineStr">
        <is>
          <t>'-1.66%</t>
        </is>
      </c>
      <c r="I6" s="26" t="inlineStr">
        <is>
          <t>Package : 0402</t>
        </is>
      </c>
      <c r="J6" s="26" t="inlineStr"/>
      <c r="K6" s="26" t="inlineStr"/>
    </row>
    <row r="7">
      <c r="A7" s="15" t="inlineStr"/>
      <c r="B7" s="15" t="inlineStr"/>
      <c r="C7" s="15" t="inlineStr"/>
      <c r="D7" s="15" t="inlineStr"/>
      <c r="E7" s="15" t="inlineStr"/>
      <c r="F7" s="15" t="inlineStr"/>
      <c r="G7" s="15" t="inlineStr"/>
      <c r="H7" s="15" t="inlineStr"/>
      <c r="I7" s="15" t="inlineStr"/>
      <c r="J7" s="15" t="inlineStr"/>
      <c r="K7" s="15" t="inlineStr"/>
    </row>
    <row r="8">
      <c r="A8" s="24" t="inlineStr">
        <is>
          <t>R002</t>
        </is>
      </c>
      <c r="B8" s="24" t="inlineStr">
        <is>
          <t>Value Header</t>
        </is>
      </c>
      <c r="C8" s="24" t="inlineStr">
        <is>
          <t>2.67kOhm</t>
        </is>
      </c>
      <c r="D8" s="24" t="inlineStr">
        <is>
          <t>1 PN  |  Total 1 pcs</t>
        </is>
      </c>
      <c r="E8" s="24" t="inlineStr"/>
      <c r="F8" s="24" t="inlineStr"/>
      <c r="G8" s="24" t="inlineStr"/>
      <c r="H8" s="24" t="inlineStr">
        <is>
          <t>2.7kΩ (-1.11%), 2.74kΩ (-2.55%)</t>
        </is>
      </c>
      <c r="I8" s="24" t="inlineStr">
        <is>
          <t>🟠 Near Value 2.67kΩ ➔ 2.7kΩ (-1.11%)
Target Value : 2.7kΩ
Package : 0402
Qty : 12 pcs
Difference : -1.11%
Target Value : 2.74kΩ
Package : 0402
Qty : 1 pcs
Difference : -2.55%</t>
        </is>
      </c>
      <c r="J8" s="24" t="inlineStr"/>
      <c r="K8" s="24" t="inlineStr"/>
    </row>
    <row r="9">
      <c r="A9" s="25" t="inlineStr">
        <is>
          <t>R002</t>
        </is>
      </c>
      <c r="B9" s="25" t="inlineStr">
        <is>
          <t>Spec Header</t>
        </is>
      </c>
      <c r="C9" s="25" t="inlineStr">
        <is>
          <t>2.67kOhm</t>
        </is>
      </c>
      <c r="D9" s="25" t="inlineStr">
        <is>
          <t>2.67kOhm 1% 0402</t>
        </is>
      </c>
      <c r="E9" s="25" t="inlineStr"/>
      <c r="F9" s="25" t="n">
        <v>1</v>
      </c>
      <c r="G9" s="25" t="inlineStr">
        <is>
          <t>Same Spec Group</t>
        </is>
      </c>
      <c r="H9" s="25" t="inlineStr"/>
      <c r="I9" s="25" t="inlineStr">
        <is>
          <t>Qty=1</t>
        </is>
      </c>
      <c r="J9" s="25" t="inlineStr"/>
      <c r="K9" s="25" t="inlineStr"/>
    </row>
    <row r="10">
      <c r="A10" s="26" t="inlineStr">
        <is>
          <t>R002</t>
        </is>
      </c>
      <c r="B10" s="26" t="inlineStr">
        <is>
          <t>PN</t>
        </is>
      </c>
      <c r="C10" s="26" t="inlineStr">
        <is>
          <t>2.67kOhm</t>
        </is>
      </c>
      <c r="D10" s="26" t="inlineStr">
        <is>
          <t>2.67kOhm 1% 0402</t>
        </is>
      </c>
      <c r="E10" s="26" t="inlineStr">
        <is>
          <t>10G212267114050</t>
        </is>
      </c>
      <c r="F10" s="26" t="n">
        <v>1</v>
      </c>
      <c r="G10" s="26" t="inlineStr">
        <is>
          <t>Target</t>
        </is>
      </c>
      <c r="H10" s="26" t="inlineStr"/>
      <c r="I10" s="26" t="inlineStr">
        <is>
          <t>Qty=1</t>
        </is>
      </c>
      <c r="J10" s="26" t="inlineStr"/>
      <c r="K10" s="26" t="inlineStr"/>
    </row>
    <row r="11">
      <c r="A11" s="21" t="inlineStr">
        <is>
          <t>R002</t>
        </is>
      </c>
      <c r="B11" s="21" t="inlineStr">
        <is>
          <t>Candidate</t>
        </is>
      </c>
      <c r="C11" s="21" t="inlineStr">
        <is>
          <t>2.7kΩ</t>
        </is>
      </c>
      <c r="D11" s="21" t="inlineStr">
        <is>
          <t>1 PN  |  Total Qty : 12 pcs
Package : 0402</t>
        </is>
      </c>
      <c r="E11" s="21" t="inlineStr"/>
      <c r="F11" s="21" t="n">
        <v>12</v>
      </c>
      <c r="G11" s="21" t="inlineStr">
        <is>
          <t>Nearby Candidate</t>
        </is>
      </c>
      <c r="H11" s="21" t="inlineStr">
        <is>
          <t>'-1.11%</t>
        </is>
      </c>
      <c r="I11" s="21" t="inlineStr">
        <is>
          <t>Candidate Value</t>
        </is>
      </c>
      <c r="J11" s="21" t="inlineStr"/>
      <c r="K11" s="21" t="inlineStr"/>
    </row>
    <row r="12">
      <c r="A12" s="26" t="inlineStr">
        <is>
          <t>R002</t>
        </is>
      </c>
      <c r="B12" s="26" t="inlineStr">
        <is>
          <t>Candidate PN</t>
        </is>
      </c>
      <c r="C12" s="26" t="inlineStr">
        <is>
          <t>2.7kΩ</t>
        </is>
      </c>
      <c r="D12" s="26" t="inlineStr">
        <is>
          <t>2.7kOhm 1% 0402</t>
        </is>
      </c>
      <c r="E12" s="26" t="inlineStr">
        <is>
          <t>10G212270114010</t>
        </is>
      </c>
      <c r="F12" s="26" t="n">
        <v>12</v>
      </c>
      <c r="G12" s="26" t="inlineStr">
        <is>
          <t>Nearby Candidate</t>
        </is>
      </c>
      <c r="H12" s="26" t="inlineStr">
        <is>
          <t>'-1.11%</t>
        </is>
      </c>
      <c r="I12" s="26" t="inlineStr">
        <is>
          <t>Package : 0402</t>
        </is>
      </c>
      <c r="J12" s="26" t="inlineStr"/>
      <c r="K12" s="26" t="inlineStr"/>
    </row>
    <row r="13">
      <c r="A13" s="21" t="inlineStr">
        <is>
          <t>R002</t>
        </is>
      </c>
      <c r="B13" s="21" t="inlineStr">
        <is>
          <t>Candidate</t>
        </is>
      </c>
      <c r="C13" s="21" t="inlineStr">
        <is>
          <t>2.74kΩ</t>
        </is>
      </c>
      <c r="D13" s="21" t="inlineStr">
        <is>
          <t>1 PN  |  Total Qty : 1 pcs
Package : 0402</t>
        </is>
      </c>
      <c r="E13" s="21" t="inlineStr"/>
      <c r="F13" s="21" t="n">
        <v>1</v>
      </c>
      <c r="G13" s="21" t="inlineStr">
        <is>
          <t>Nearby Candidate</t>
        </is>
      </c>
      <c r="H13" s="21" t="inlineStr">
        <is>
          <t>'-2.55%</t>
        </is>
      </c>
      <c r="I13" s="21" t="inlineStr">
        <is>
          <t>Candidate Value</t>
        </is>
      </c>
      <c r="J13" s="21" t="inlineStr"/>
      <c r="K13" s="21" t="inlineStr"/>
    </row>
    <row r="14">
      <c r="A14" s="26" t="inlineStr">
        <is>
          <t>R002</t>
        </is>
      </c>
      <c r="B14" s="26" t="inlineStr">
        <is>
          <t>Candidate PN</t>
        </is>
      </c>
      <c r="C14" s="26" t="inlineStr">
        <is>
          <t>2.74kΩ</t>
        </is>
      </c>
      <c r="D14" s="26" t="inlineStr">
        <is>
          <t>2.74kOhm 1% 0402</t>
        </is>
      </c>
      <c r="E14" s="26" t="inlineStr">
        <is>
          <t>10G212274114010</t>
        </is>
      </c>
      <c r="F14" s="26" t="n">
        <v>1</v>
      </c>
      <c r="G14" s="26" t="inlineStr">
        <is>
          <t>Nearby Candidate</t>
        </is>
      </c>
      <c r="H14" s="26" t="inlineStr">
        <is>
          <t>'-2.55%</t>
        </is>
      </c>
      <c r="I14" s="26" t="inlineStr">
        <is>
          <t>Package : 0402</t>
        </is>
      </c>
      <c r="J14" s="26" t="inlineStr"/>
      <c r="K14" s="26" t="inlineStr"/>
    </row>
    <row r="15">
      <c r="A15" s="15" t="inlineStr"/>
      <c r="B15" s="15" t="inlineStr"/>
      <c r="C15" s="15" t="inlineStr"/>
      <c r="D15" s="15" t="inlineStr"/>
      <c r="E15" s="15" t="inlineStr"/>
      <c r="F15" s="15" t="inlineStr"/>
      <c r="G15" s="15" t="inlineStr"/>
      <c r="H15" s="15" t="inlineStr"/>
      <c r="I15" s="15" t="inlineStr"/>
      <c r="J15" s="15" t="inlineStr"/>
      <c r="K15" s="15" t="inlineStr"/>
    </row>
    <row r="16">
      <c r="A16" s="24" t="inlineStr">
        <is>
          <t>R003</t>
        </is>
      </c>
      <c r="B16" s="24" t="inlineStr">
        <is>
          <t>Value Header</t>
        </is>
      </c>
      <c r="C16" s="24" t="inlineStr">
        <is>
          <t>2.74kOhm</t>
        </is>
      </c>
      <c r="D16" s="24" t="inlineStr">
        <is>
          <t>1 PN  |  Total 1 pcs</t>
        </is>
      </c>
      <c r="E16" s="24" t="inlineStr"/>
      <c r="F16" s="24" t="inlineStr"/>
      <c r="G16" s="24" t="inlineStr"/>
      <c r="H16" s="24" t="inlineStr">
        <is>
          <t>2.7kΩ (+1.48%), 2.67kΩ (+2.62%), 2.87kΩ (-4.53%)</t>
        </is>
      </c>
      <c r="I16" s="24" t="inlineStr">
        <is>
          <t>🟠 Near Value 2.74kΩ ➔ 2.7kΩ (+1.48%)
Target Value : 2.7kΩ
Package : 0402
Qty : 12 pcs
Difference : +1.48%
Target Value : 2.67kΩ
Package : 0402
Qty : 1 pcs
Difference : +2.62%</t>
        </is>
      </c>
      <c r="J16" s="24" t="inlineStr"/>
      <c r="K16" s="24" t="inlineStr"/>
    </row>
    <row r="17">
      <c r="A17" s="25" t="inlineStr">
        <is>
          <t>R003</t>
        </is>
      </c>
      <c r="B17" s="25" t="inlineStr">
        <is>
          <t>Spec Header</t>
        </is>
      </c>
      <c r="C17" s="25" t="inlineStr">
        <is>
          <t>2.74kOhm</t>
        </is>
      </c>
      <c r="D17" s="25" t="inlineStr">
        <is>
          <t>2.74kOhm 1% 0402</t>
        </is>
      </c>
      <c r="E17" s="25" t="inlineStr"/>
      <c r="F17" s="25" t="n">
        <v>1</v>
      </c>
      <c r="G17" s="25" t="inlineStr">
        <is>
          <t>Same Spec Group</t>
        </is>
      </c>
      <c r="H17" s="25" t="inlineStr"/>
      <c r="I17" s="25" t="inlineStr">
        <is>
          <t>Qty=1</t>
        </is>
      </c>
      <c r="J17" s="25" t="inlineStr"/>
      <c r="K17" s="25" t="inlineStr"/>
    </row>
    <row r="18">
      <c r="A18" s="26" t="inlineStr">
        <is>
          <t>R003</t>
        </is>
      </c>
      <c r="B18" s="26" t="inlineStr">
        <is>
          <t>PN</t>
        </is>
      </c>
      <c r="C18" s="26" t="inlineStr">
        <is>
          <t>2.74kOhm</t>
        </is>
      </c>
      <c r="D18" s="26" t="inlineStr">
        <is>
          <t>2.74kOhm 1% 0402</t>
        </is>
      </c>
      <c r="E18" s="26" t="inlineStr">
        <is>
          <t>10G212274114010</t>
        </is>
      </c>
      <c r="F18" s="26" t="n">
        <v>1</v>
      </c>
      <c r="G18" s="26" t="inlineStr">
        <is>
          <t>Target</t>
        </is>
      </c>
      <c r="H18" s="26" t="inlineStr"/>
      <c r="I18" s="26" t="inlineStr">
        <is>
          <t>Qty=1</t>
        </is>
      </c>
      <c r="J18" s="26" t="inlineStr"/>
      <c r="K18" s="26" t="inlineStr"/>
    </row>
    <row r="19">
      <c r="A19" s="21" t="inlineStr">
        <is>
          <t>R003</t>
        </is>
      </c>
      <c r="B19" s="21" t="inlineStr">
        <is>
          <t>Candidate</t>
        </is>
      </c>
      <c r="C19" s="21" t="inlineStr">
        <is>
          <t>2.7kΩ</t>
        </is>
      </c>
      <c r="D19" s="21" t="inlineStr">
        <is>
          <t>1 PN  |  Total Qty : 12 pcs
Package : 0402</t>
        </is>
      </c>
      <c r="E19" s="21" t="inlineStr"/>
      <c r="F19" s="21" t="n">
        <v>12</v>
      </c>
      <c r="G19" s="21" t="inlineStr">
        <is>
          <t>Nearby Candidate</t>
        </is>
      </c>
      <c r="H19" s="21" t="inlineStr">
        <is>
          <t>'+1.48%</t>
        </is>
      </c>
      <c r="I19" s="21" t="inlineStr">
        <is>
          <t>Candidate Value</t>
        </is>
      </c>
      <c r="J19" s="21" t="inlineStr"/>
      <c r="K19" s="21" t="inlineStr"/>
    </row>
    <row r="20">
      <c r="A20" s="26" t="inlineStr">
        <is>
          <t>R003</t>
        </is>
      </c>
      <c r="B20" s="26" t="inlineStr">
        <is>
          <t>Candidate PN</t>
        </is>
      </c>
      <c r="C20" s="26" t="inlineStr">
        <is>
          <t>2.7kΩ</t>
        </is>
      </c>
      <c r="D20" s="26" t="inlineStr">
        <is>
          <t>2.7kOhm 1% 0402</t>
        </is>
      </c>
      <c r="E20" s="26" t="inlineStr">
        <is>
          <t>10G212270114010</t>
        </is>
      </c>
      <c r="F20" s="26" t="n">
        <v>12</v>
      </c>
      <c r="G20" s="26" t="inlineStr">
        <is>
          <t>Nearby Candidate</t>
        </is>
      </c>
      <c r="H20" s="26" t="inlineStr">
        <is>
          <t>'+1.48%</t>
        </is>
      </c>
      <c r="I20" s="26" t="inlineStr">
        <is>
          <t>Package : 0402</t>
        </is>
      </c>
      <c r="J20" s="26" t="inlineStr"/>
      <c r="K20" s="26" t="inlineStr"/>
    </row>
    <row r="21">
      <c r="A21" s="21" t="inlineStr">
        <is>
          <t>R003</t>
        </is>
      </c>
      <c r="B21" s="21" t="inlineStr">
        <is>
          <t>Candidate</t>
        </is>
      </c>
      <c r="C21" s="21" t="inlineStr">
        <is>
          <t>2.67kΩ</t>
        </is>
      </c>
      <c r="D21" s="21" t="inlineStr">
        <is>
          <t>1 PN  |  Total Qty : 1 pcs
Package : 0402</t>
        </is>
      </c>
      <c r="E21" s="21" t="inlineStr"/>
      <c r="F21" s="21" t="n">
        <v>1</v>
      </c>
      <c r="G21" s="21" t="inlineStr">
        <is>
          <t>Nearby Candidate</t>
        </is>
      </c>
      <c r="H21" s="21" t="inlineStr">
        <is>
          <t>'+2.62%</t>
        </is>
      </c>
      <c r="I21" s="21" t="inlineStr">
        <is>
          <t>Candidate Value</t>
        </is>
      </c>
      <c r="J21" s="21" t="inlineStr"/>
      <c r="K21" s="21" t="inlineStr"/>
    </row>
    <row r="22">
      <c r="A22" s="26" t="inlineStr">
        <is>
          <t>R003</t>
        </is>
      </c>
      <c r="B22" s="26" t="inlineStr">
        <is>
          <t>Candidate PN</t>
        </is>
      </c>
      <c r="C22" s="26" t="inlineStr">
        <is>
          <t>2.67kΩ</t>
        </is>
      </c>
      <c r="D22" s="26" t="inlineStr">
        <is>
          <t>2.67kOhm 1% 0402</t>
        </is>
      </c>
      <c r="E22" s="26" t="inlineStr">
        <is>
          <t>10G212267114050</t>
        </is>
      </c>
      <c r="F22" s="26" t="n">
        <v>1</v>
      </c>
      <c r="G22" s="26" t="inlineStr">
        <is>
          <t>Nearby Candidate</t>
        </is>
      </c>
      <c r="H22" s="26" t="inlineStr">
        <is>
          <t>'+2.62%</t>
        </is>
      </c>
      <c r="I22" s="26" t="inlineStr">
        <is>
          <t>Package : 0402</t>
        </is>
      </c>
      <c r="J22" s="26" t="inlineStr"/>
      <c r="K22" s="26" t="inlineStr"/>
    </row>
    <row r="23">
      <c r="A23" s="21" t="inlineStr">
        <is>
          <t>R003</t>
        </is>
      </c>
      <c r="B23" s="21" t="inlineStr">
        <is>
          <t>Candidate</t>
        </is>
      </c>
      <c r="C23" s="21" t="inlineStr">
        <is>
          <t>2.87kΩ</t>
        </is>
      </c>
      <c r="D23" s="21" t="inlineStr">
        <is>
          <t>1 PN  |  Total Qty : 1 pcs
Package : 0402</t>
        </is>
      </c>
      <c r="E23" s="21" t="inlineStr"/>
      <c r="F23" s="21" t="n">
        <v>1</v>
      </c>
      <c r="G23" s="21" t="inlineStr">
        <is>
          <t>Nearby Candidate</t>
        </is>
      </c>
      <c r="H23" s="21" t="inlineStr">
        <is>
          <t>'-4.53%</t>
        </is>
      </c>
      <c r="I23" s="21" t="inlineStr">
        <is>
          <t>Candidate Value</t>
        </is>
      </c>
      <c r="J23" s="21" t="inlineStr"/>
      <c r="K23" s="21" t="inlineStr"/>
    </row>
    <row r="24">
      <c r="A24" s="26" t="inlineStr">
        <is>
          <t>R003</t>
        </is>
      </c>
      <c r="B24" s="26" t="inlineStr">
        <is>
          <t>Candidate PN</t>
        </is>
      </c>
      <c r="C24" s="26" t="inlineStr">
        <is>
          <t>2.87kΩ</t>
        </is>
      </c>
      <c r="D24" s="26" t="inlineStr">
        <is>
          <t>2.87kOhm 1% 0402</t>
        </is>
      </c>
      <c r="E24" s="26" t="inlineStr">
        <is>
          <t>10G212287114050</t>
        </is>
      </c>
      <c r="F24" s="26" t="n">
        <v>1</v>
      </c>
      <c r="G24" s="26" t="inlineStr">
        <is>
          <t>Nearby Candidate</t>
        </is>
      </c>
      <c r="H24" s="26" t="inlineStr">
        <is>
          <t>'-4.53%</t>
        </is>
      </c>
      <c r="I24" s="26" t="inlineStr">
        <is>
          <t>Package : 0402</t>
        </is>
      </c>
      <c r="J24" s="26" t="inlineStr"/>
      <c r="K24" s="26" t="inlineStr"/>
    </row>
    <row r="25">
      <c r="A25" s="15" t="inlineStr"/>
      <c r="B25" s="15" t="inlineStr"/>
      <c r="C25" s="15" t="inlineStr"/>
      <c r="D25" s="15" t="inlineStr"/>
      <c r="E25" s="15" t="inlineStr"/>
      <c r="F25" s="15" t="inlineStr"/>
      <c r="G25" s="15" t="inlineStr"/>
      <c r="H25" s="15" t="inlineStr"/>
      <c r="I25" s="15" t="inlineStr"/>
      <c r="J25" s="15" t="inlineStr"/>
      <c r="K25" s="15" t="inlineStr"/>
    </row>
    <row r="26">
      <c r="A26" s="24" t="inlineStr">
        <is>
          <t>R004</t>
        </is>
      </c>
      <c r="B26" s="24" t="inlineStr">
        <is>
          <t>Value Header</t>
        </is>
      </c>
      <c r="C26" s="24" t="inlineStr">
        <is>
          <t>20.5kOhm</t>
        </is>
      </c>
      <c r="D26" s="24" t="inlineStr">
        <is>
          <t>1 PN  |  Total 1 pcs</t>
        </is>
      </c>
      <c r="E26" s="24" t="inlineStr"/>
      <c r="F26" s="24" t="inlineStr"/>
      <c r="G26" s="24" t="inlineStr"/>
      <c r="H26" s="24" t="inlineStr">
        <is>
          <t>20kΩ (+2.5%)</t>
        </is>
      </c>
      <c r="I26" s="24" t="inlineStr">
        <is>
          <t>🟠 Near Value 20.5kΩ ➔ 20kΩ (+2.5%)
Target Value : 20kΩ
Package : 0402
Qty : 9 pcs
Difference : +2.5%</t>
        </is>
      </c>
      <c r="J26" s="24" t="inlineStr"/>
      <c r="K26" s="24" t="inlineStr"/>
    </row>
    <row r="27">
      <c r="A27" s="25" t="inlineStr">
        <is>
          <t>R004</t>
        </is>
      </c>
      <c r="B27" s="25" t="inlineStr">
        <is>
          <t>Spec Header</t>
        </is>
      </c>
      <c r="C27" s="25" t="inlineStr">
        <is>
          <t>20.5kOhm</t>
        </is>
      </c>
      <c r="D27" s="25" t="inlineStr">
        <is>
          <t>20.5kOhm 1% 0402</t>
        </is>
      </c>
      <c r="E27" s="25" t="inlineStr"/>
      <c r="F27" s="25" t="n">
        <v>1</v>
      </c>
      <c r="G27" s="25" t="inlineStr">
        <is>
          <t>Same Spec Group</t>
        </is>
      </c>
      <c r="H27" s="25" t="inlineStr"/>
      <c r="I27" s="25" t="inlineStr">
        <is>
          <t>Qty=1</t>
        </is>
      </c>
      <c r="J27" s="25" t="inlineStr"/>
      <c r="K27" s="25" t="inlineStr"/>
    </row>
    <row r="28">
      <c r="A28" s="26" t="inlineStr">
        <is>
          <t>R004</t>
        </is>
      </c>
      <c r="B28" s="26" t="inlineStr">
        <is>
          <t>PN</t>
        </is>
      </c>
      <c r="C28" s="26" t="inlineStr">
        <is>
          <t>20.5kOhm</t>
        </is>
      </c>
      <c r="D28" s="26" t="inlineStr">
        <is>
          <t>20.5kOhm 1% 0402</t>
        </is>
      </c>
      <c r="E28" s="26" t="inlineStr">
        <is>
          <t>10G212205214010</t>
        </is>
      </c>
      <c r="F28" s="26" t="n">
        <v>1</v>
      </c>
      <c r="G28" s="26" t="inlineStr">
        <is>
          <t>Target</t>
        </is>
      </c>
      <c r="H28" s="26" t="inlineStr"/>
      <c r="I28" s="26" t="inlineStr">
        <is>
          <t>Qty=1</t>
        </is>
      </c>
      <c r="J28" s="26" t="inlineStr"/>
      <c r="K28" s="26" t="inlineStr"/>
    </row>
    <row r="29">
      <c r="A29" s="21" t="inlineStr">
        <is>
          <t>R004</t>
        </is>
      </c>
      <c r="B29" s="21" t="inlineStr">
        <is>
          <t>Candidate</t>
        </is>
      </c>
      <c r="C29" s="21" t="inlineStr">
        <is>
          <t>20kΩ</t>
        </is>
      </c>
      <c r="D29" s="21" t="inlineStr">
        <is>
          <t>1 PN  |  Total Qty : 9 pcs
Package : 0402</t>
        </is>
      </c>
      <c r="E29" s="21" t="inlineStr"/>
      <c r="F29" s="21" t="n">
        <v>9</v>
      </c>
      <c r="G29" s="21" t="inlineStr">
        <is>
          <t>Nearby Candidate</t>
        </is>
      </c>
      <c r="H29" s="21" t="inlineStr">
        <is>
          <t>'+2.5%</t>
        </is>
      </c>
      <c r="I29" s="21" t="inlineStr">
        <is>
          <t>Candidate Value</t>
        </is>
      </c>
      <c r="J29" s="21" t="inlineStr"/>
      <c r="K29" s="21" t="inlineStr"/>
    </row>
    <row r="30">
      <c r="A30" s="26" t="inlineStr">
        <is>
          <t>R004</t>
        </is>
      </c>
      <c r="B30" s="26" t="inlineStr">
        <is>
          <t>Candidate PN</t>
        </is>
      </c>
      <c r="C30" s="26" t="inlineStr">
        <is>
          <t>20kΩ</t>
        </is>
      </c>
      <c r="D30" s="26" t="inlineStr">
        <is>
          <t>20kOhm 1% 0402</t>
        </is>
      </c>
      <c r="E30" s="26" t="inlineStr">
        <is>
          <t>10G212200214020</t>
        </is>
      </c>
      <c r="F30" s="26" t="n">
        <v>9</v>
      </c>
      <c r="G30" s="26" t="inlineStr">
        <is>
          <t>Nearby Candidate</t>
        </is>
      </c>
      <c r="H30" s="26" t="inlineStr">
        <is>
          <t>'+2.5%</t>
        </is>
      </c>
      <c r="I30" s="26" t="inlineStr">
        <is>
          <t>Package : 0402</t>
        </is>
      </c>
      <c r="J30" s="26" t="inlineStr"/>
      <c r="K30" s="26" t="inlineStr"/>
    </row>
    <row r="31">
      <c r="A31" s="15" t="inlineStr"/>
      <c r="B31" s="15" t="inlineStr"/>
      <c r="C31" s="15" t="inlineStr"/>
      <c r="D31" s="15" t="inlineStr"/>
      <c r="E31" s="15" t="inlineStr"/>
      <c r="F31" s="15" t="inlineStr"/>
      <c r="G31" s="15" t="inlineStr"/>
      <c r="H31" s="15" t="inlineStr"/>
      <c r="I31" s="15" t="inlineStr"/>
      <c r="J31" s="15" t="inlineStr"/>
      <c r="K31" s="15" t="inlineStr"/>
    </row>
    <row r="32">
      <c r="A32" s="24" t="inlineStr">
        <is>
          <t>R005</t>
        </is>
      </c>
      <c r="B32" s="24" t="inlineStr">
        <is>
          <t>Value Header</t>
        </is>
      </c>
      <c r="C32" s="24" t="inlineStr">
        <is>
          <t>22.1kOhm</t>
        </is>
      </c>
      <c r="D32" s="24" t="inlineStr">
        <is>
          <t>1 PN  |  Total 1 pcs</t>
        </is>
      </c>
      <c r="E32" s="24" t="inlineStr"/>
      <c r="F32" s="24" t="inlineStr"/>
      <c r="G32" s="24" t="inlineStr"/>
      <c r="H32" s="24" t="inlineStr">
        <is>
          <t>22kΩ (+0.45%)</t>
        </is>
      </c>
      <c r="I32" s="24" t="inlineStr">
        <is>
          <t>🟠 Near Value 22.1kΩ ➔ 22kΩ (+0.45%)
Target Value : 22kΩ
Package : 0402
Qty : 2 pcs
Difference : +0.45%</t>
        </is>
      </c>
      <c r="J32" s="24" t="inlineStr"/>
      <c r="K32" s="24" t="inlineStr"/>
    </row>
    <row r="33">
      <c r="A33" s="25" t="inlineStr">
        <is>
          <t>R005</t>
        </is>
      </c>
      <c r="B33" s="25" t="inlineStr">
        <is>
          <t>Spec Header</t>
        </is>
      </c>
      <c r="C33" s="25" t="inlineStr">
        <is>
          <t>22.1kOhm</t>
        </is>
      </c>
      <c r="D33" s="25" t="inlineStr">
        <is>
          <t>22.1kOhm 1% 0402</t>
        </is>
      </c>
      <c r="E33" s="25" t="inlineStr"/>
      <c r="F33" s="25" t="n">
        <v>1</v>
      </c>
      <c r="G33" s="25" t="inlineStr">
        <is>
          <t>Same Spec Group</t>
        </is>
      </c>
      <c r="H33" s="25" t="inlineStr"/>
      <c r="I33" s="25" t="inlineStr">
        <is>
          <t>Qty=1</t>
        </is>
      </c>
      <c r="J33" s="25" t="inlineStr"/>
      <c r="K33" s="25" t="inlineStr"/>
    </row>
    <row r="34">
      <c r="A34" s="26" t="inlineStr">
        <is>
          <t>R005</t>
        </is>
      </c>
      <c r="B34" s="26" t="inlineStr">
        <is>
          <t>PN</t>
        </is>
      </c>
      <c r="C34" s="26" t="inlineStr">
        <is>
          <t>22.1kOhm</t>
        </is>
      </c>
      <c r="D34" s="26" t="inlineStr">
        <is>
          <t>22.1kOhm 1% 0402</t>
        </is>
      </c>
      <c r="E34" s="26" t="inlineStr">
        <is>
          <t>10G212221214010</t>
        </is>
      </c>
      <c r="F34" s="26" t="n">
        <v>1</v>
      </c>
      <c r="G34" s="26" t="inlineStr">
        <is>
          <t>Target</t>
        </is>
      </c>
      <c r="H34" s="26" t="inlineStr"/>
      <c r="I34" s="26" t="inlineStr">
        <is>
          <t>Qty=1</t>
        </is>
      </c>
      <c r="J34" s="26" t="inlineStr"/>
      <c r="K34" s="26" t="inlineStr"/>
    </row>
    <row r="35">
      <c r="A35" s="21" t="inlineStr">
        <is>
          <t>R005</t>
        </is>
      </c>
      <c r="B35" s="21" t="inlineStr">
        <is>
          <t>Candidate</t>
        </is>
      </c>
      <c r="C35" s="21" t="inlineStr">
        <is>
          <t>22kΩ</t>
        </is>
      </c>
      <c r="D35" s="21" t="inlineStr">
        <is>
          <t>1 PN  |  Total Qty : 2 pcs
Package : 0402</t>
        </is>
      </c>
      <c r="E35" s="21" t="inlineStr"/>
      <c r="F35" s="21" t="n">
        <v>2</v>
      </c>
      <c r="G35" s="21" t="inlineStr">
        <is>
          <t>Nearby Candidate</t>
        </is>
      </c>
      <c r="H35" s="21" t="inlineStr">
        <is>
          <t>'+0.45%</t>
        </is>
      </c>
      <c r="I35" s="21" t="inlineStr">
        <is>
          <t>Candidate Value</t>
        </is>
      </c>
      <c r="J35" s="21" t="inlineStr"/>
      <c r="K35" s="21" t="inlineStr"/>
    </row>
    <row r="36">
      <c r="A36" s="26" t="inlineStr">
        <is>
          <t>R005</t>
        </is>
      </c>
      <c r="B36" s="26" t="inlineStr">
        <is>
          <t>Candidate PN</t>
        </is>
      </c>
      <c r="C36" s="26" t="inlineStr">
        <is>
          <t>22kΩ</t>
        </is>
      </c>
      <c r="D36" s="26" t="inlineStr">
        <is>
          <t>22kOhm 1% 0402</t>
        </is>
      </c>
      <c r="E36" s="26" t="inlineStr">
        <is>
          <t>10G212220214010</t>
        </is>
      </c>
      <c r="F36" s="26" t="n">
        <v>2</v>
      </c>
      <c r="G36" s="26" t="inlineStr">
        <is>
          <t>Nearby Candidate</t>
        </is>
      </c>
      <c r="H36" s="26" t="inlineStr">
        <is>
          <t>'+0.45%</t>
        </is>
      </c>
      <c r="I36" s="26" t="inlineStr">
        <is>
          <t>Package : 0402</t>
        </is>
      </c>
      <c r="J36" s="26" t="inlineStr"/>
      <c r="K36" s="26" t="inlineStr"/>
    </row>
    <row r="37">
      <c r="A37" s="15" t="inlineStr"/>
      <c r="B37" s="15" t="inlineStr"/>
      <c r="C37" s="15" t="inlineStr"/>
      <c r="D37" s="15" t="inlineStr"/>
      <c r="E37" s="15" t="inlineStr"/>
      <c r="F37" s="15" t="inlineStr"/>
      <c r="G37" s="15" t="inlineStr"/>
      <c r="H37" s="15" t="inlineStr"/>
      <c r="I37" s="15" t="inlineStr"/>
      <c r="J37" s="15" t="inlineStr"/>
      <c r="K37" s="15" t="inlineStr"/>
    </row>
    <row r="38">
      <c r="A38" s="24" t="inlineStr">
        <is>
          <t>R006</t>
        </is>
      </c>
      <c r="B38" s="24" t="inlineStr">
        <is>
          <t>Value Header</t>
        </is>
      </c>
      <c r="C38" s="24" t="inlineStr">
        <is>
          <t>39.2kOhm</t>
        </is>
      </c>
      <c r="D38" s="24" t="inlineStr">
        <is>
          <t>1 PN  |  Total 1 pcs</t>
        </is>
      </c>
      <c r="E38" s="24" t="inlineStr"/>
      <c r="F38" s="24" t="inlineStr"/>
      <c r="G38" s="24" t="inlineStr"/>
      <c r="H38" s="24" t="inlineStr">
        <is>
          <t>40.2kΩ (-2.49%), 41.2kΩ (-4.85%)</t>
        </is>
      </c>
      <c r="I38" s="24" t="inlineStr">
        <is>
          <t>🟠 Near Value 39.2kΩ ➔ 40.2kΩ (-2.49%)
Target Value : 40.2kΩ
Package : 0402
Qty : 2 pcs
Difference : -2.49%</t>
        </is>
      </c>
      <c r="J38" s="24" t="inlineStr"/>
      <c r="K38" s="24" t="inlineStr"/>
    </row>
    <row r="39">
      <c r="A39" s="25" t="inlineStr">
        <is>
          <t>R006</t>
        </is>
      </c>
      <c r="B39" s="25" t="inlineStr">
        <is>
          <t>Spec Header</t>
        </is>
      </c>
      <c r="C39" s="25" t="inlineStr">
        <is>
          <t>39.2kOhm</t>
        </is>
      </c>
      <c r="D39" s="25" t="inlineStr">
        <is>
          <t>39.2kOhm 1% 0402</t>
        </is>
      </c>
      <c r="E39" s="25" t="inlineStr"/>
      <c r="F39" s="25" t="n">
        <v>1</v>
      </c>
      <c r="G39" s="25" t="inlineStr">
        <is>
          <t>Same Spec Group</t>
        </is>
      </c>
      <c r="H39" s="25" t="inlineStr"/>
      <c r="I39" s="25" t="inlineStr">
        <is>
          <t>Qty=1</t>
        </is>
      </c>
      <c r="J39" s="25" t="inlineStr"/>
      <c r="K39" s="25" t="inlineStr"/>
    </row>
    <row r="40">
      <c r="A40" s="26" t="inlineStr">
        <is>
          <t>R006</t>
        </is>
      </c>
      <c r="B40" s="26" t="inlineStr">
        <is>
          <t>PN</t>
        </is>
      </c>
      <c r="C40" s="26" t="inlineStr">
        <is>
          <t>39.2kOhm</t>
        </is>
      </c>
      <c r="D40" s="26" t="inlineStr">
        <is>
          <t>39.2kOhm 1% 0402</t>
        </is>
      </c>
      <c r="E40" s="26" t="inlineStr">
        <is>
          <t>10G212392214050</t>
        </is>
      </c>
      <c r="F40" s="26" t="n">
        <v>1</v>
      </c>
      <c r="G40" s="26" t="inlineStr">
        <is>
          <t>Target</t>
        </is>
      </c>
      <c r="H40" s="26" t="inlineStr"/>
      <c r="I40" s="26" t="inlineStr">
        <is>
          <t>Qty=1</t>
        </is>
      </c>
      <c r="J40" s="26" t="inlineStr"/>
      <c r="K40" s="26" t="inlineStr"/>
    </row>
    <row r="41">
      <c r="A41" s="21" t="inlineStr">
        <is>
          <t>R006</t>
        </is>
      </c>
      <c r="B41" s="21" t="inlineStr">
        <is>
          <t>Candidate</t>
        </is>
      </c>
      <c r="C41" s="21" t="inlineStr">
        <is>
          <t>40.2kΩ</t>
        </is>
      </c>
      <c r="D41" s="21" t="inlineStr">
        <is>
          <t>1 PN  |  Total Qty : 2 pcs
Package : 0402</t>
        </is>
      </c>
      <c r="E41" s="21" t="inlineStr"/>
      <c r="F41" s="21" t="n">
        <v>2</v>
      </c>
      <c r="G41" s="21" t="inlineStr">
        <is>
          <t>Nearby Candidate</t>
        </is>
      </c>
      <c r="H41" s="21" t="inlineStr">
        <is>
          <t>'-2.49%</t>
        </is>
      </c>
      <c r="I41" s="21" t="inlineStr">
        <is>
          <t>Candidate Value</t>
        </is>
      </c>
      <c r="J41" s="21" t="inlineStr"/>
      <c r="K41" s="21" t="inlineStr"/>
    </row>
    <row r="42">
      <c r="A42" s="26" t="inlineStr">
        <is>
          <t>R006</t>
        </is>
      </c>
      <c r="B42" s="26" t="inlineStr">
        <is>
          <t>Candidate PN</t>
        </is>
      </c>
      <c r="C42" s="26" t="inlineStr">
        <is>
          <t>40.2kΩ</t>
        </is>
      </c>
      <c r="D42" s="26" t="inlineStr">
        <is>
          <t>40.2kOhm 1% 0402</t>
        </is>
      </c>
      <c r="E42" s="26" t="inlineStr">
        <is>
          <t>10G212402214020</t>
        </is>
      </c>
      <c r="F42" s="26" t="n">
        <v>2</v>
      </c>
      <c r="G42" s="26" t="inlineStr">
        <is>
          <t>Nearby Candidate</t>
        </is>
      </c>
      <c r="H42" s="26" t="inlineStr">
        <is>
          <t>'-2.49%</t>
        </is>
      </c>
      <c r="I42" s="26" t="inlineStr">
        <is>
          <t>Package : 0402</t>
        </is>
      </c>
      <c r="J42" s="26" t="inlineStr"/>
      <c r="K42" s="26" t="inlineStr"/>
    </row>
    <row r="43">
      <c r="A43" s="21" t="inlineStr">
        <is>
          <t>R006</t>
        </is>
      </c>
      <c r="B43" s="21" t="inlineStr">
        <is>
          <t>Candidate</t>
        </is>
      </c>
      <c r="C43" s="21" t="inlineStr">
        <is>
          <t>41.2kΩ</t>
        </is>
      </c>
      <c r="D43" s="21" t="inlineStr">
        <is>
          <t>1 PN  |  Total Qty : 2 pcs
Package : 0402</t>
        </is>
      </c>
      <c r="E43" s="21" t="inlineStr"/>
      <c r="F43" s="21" t="n">
        <v>2</v>
      </c>
      <c r="G43" s="21" t="inlineStr">
        <is>
          <t>Nearby Candidate</t>
        </is>
      </c>
      <c r="H43" s="21" t="inlineStr">
        <is>
          <t>'-4.85%</t>
        </is>
      </c>
      <c r="I43" s="21" t="inlineStr">
        <is>
          <t>Candidate Value</t>
        </is>
      </c>
      <c r="J43" s="21" t="inlineStr"/>
      <c r="K43" s="21" t="inlineStr"/>
    </row>
    <row r="44">
      <c r="A44" s="26" t="inlineStr">
        <is>
          <t>R006</t>
        </is>
      </c>
      <c r="B44" s="26" t="inlineStr">
        <is>
          <t>Candidate PN</t>
        </is>
      </c>
      <c r="C44" s="26" t="inlineStr">
        <is>
          <t>41.2kΩ</t>
        </is>
      </c>
      <c r="D44" s="26" t="inlineStr">
        <is>
          <t>41.2kOhm 1% 0402</t>
        </is>
      </c>
      <c r="E44" s="26" t="inlineStr">
        <is>
          <t>10G212412214010</t>
        </is>
      </c>
      <c r="F44" s="26" t="n">
        <v>2</v>
      </c>
      <c r="G44" s="26" t="inlineStr">
        <is>
          <t>Nearby Candidate</t>
        </is>
      </c>
      <c r="H44" s="26" t="inlineStr">
        <is>
          <t>'-4.85%</t>
        </is>
      </c>
      <c r="I44" s="26" t="inlineStr">
        <is>
          <t>Package : 0402</t>
        </is>
      </c>
      <c r="J44" s="26" t="inlineStr"/>
      <c r="K44" s="26" t="inlineStr"/>
    </row>
    <row r="45">
      <c r="A45" s="15" t="inlineStr"/>
      <c r="B45" s="15" t="inlineStr"/>
      <c r="C45" s="15" t="inlineStr"/>
      <c r="D45" s="15" t="inlineStr"/>
      <c r="E45" s="15" t="inlineStr"/>
      <c r="F45" s="15" t="inlineStr"/>
      <c r="G45" s="15" t="inlineStr"/>
      <c r="H45" s="15" t="inlineStr"/>
      <c r="I45" s="15" t="inlineStr"/>
      <c r="J45" s="15" t="inlineStr"/>
      <c r="K45" s="15" t="inlineStr"/>
    </row>
    <row r="46">
      <c r="A46" s="24" t="inlineStr">
        <is>
          <t>R007</t>
        </is>
      </c>
      <c r="B46" s="24" t="inlineStr">
        <is>
          <t>Value Header</t>
        </is>
      </c>
      <c r="C46" s="24" t="inlineStr">
        <is>
          <t>51Ohm</t>
        </is>
      </c>
      <c r="D46" s="24" t="inlineStr">
        <is>
          <t>1 PN  |  Total 1 pcs</t>
        </is>
      </c>
      <c r="E46" s="24" t="inlineStr"/>
      <c r="F46" s="24" t="inlineStr"/>
      <c r="G46" s="24" t="inlineStr"/>
      <c r="H46" s="24" t="inlineStr">
        <is>
          <t>49.9Ω (+2.2%)</t>
        </is>
      </c>
      <c r="I46" s="24" t="inlineStr">
        <is>
          <t>🟠 Near Value 51Ω ➔ 49.9Ω (+2.2%)
Target Value : 49.9Ω
Package : 0402
Qty : 8 pcs
Difference : +2.2%</t>
        </is>
      </c>
      <c r="J46" s="24" t="inlineStr"/>
      <c r="K46" s="24" t="inlineStr"/>
    </row>
    <row r="47">
      <c r="A47" s="25" t="inlineStr">
        <is>
          <t>R007</t>
        </is>
      </c>
      <c r="B47" s="25" t="inlineStr">
        <is>
          <t>Spec Header</t>
        </is>
      </c>
      <c r="C47" s="25" t="inlineStr">
        <is>
          <t>51Ohm</t>
        </is>
      </c>
      <c r="D47" s="25" t="inlineStr">
        <is>
          <t>51Ohm 1% 0402</t>
        </is>
      </c>
      <c r="E47" s="25" t="inlineStr"/>
      <c r="F47" s="25" t="n">
        <v>1</v>
      </c>
      <c r="G47" s="25" t="inlineStr">
        <is>
          <t>Same Spec Group</t>
        </is>
      </c>
      <c r="H47" s="25" t="inlineStr"/>
      <c r="I47" s="25" t="inlineStr">
        <is>
          <t>Qty=1</t>
        </is>
      </c>
      <c r="J47" s="25" t="inlineStr"/>
      <c r="K47" s="25" t="inlineStr"/>
    </row>
    <row r="48">
      <c r="A48" s="26" t="inlineStr">
        <is>
          <t>R007</t>
        </is>
      </c>
      <c r="B48" s="26" t="inlineStr">
        <is>
          <t>PN</t>
        </is>
      </c>
      <c r="C48" s="26" t="inlineStr">
        <is>
          <t>51Ohm</t>
        </is>
      </c>
      <c r="D48" s="26" t="inlineStr">
        <is>
          <t>51Ohm 1% 0402</t>
        </is>
      </c>
      <c r="E48" s="26" t="inlineStr">
        <is>
          <t>10G21251R014080</t>
        </is>
      </c>
      <c r="F48" s="26" t="n">
        <v>1</v>
      </c>
      <c r="G48" s="26" t="inlineStr">
        <is>
          <t>Target</t>
        </is>
      </c>
      <c r="H48" s="26" t="inlineStr"/>
      <c r="I48" s="26" t="inlineStr">
        <is>
          <t>Qty=1</t>
        </is>
      </c>
      <c r="J48" s="26" t="inlineStr"/>
      <c r="K48" s="26" t="inlineStr"/>
    </row>
    <row r="49">
      <c r="A49" s="21" t="inlineStr">
        <is>
          <t>R007</t>
        </is>
      </c>
      <c r="B49" s="21" t="inlineStr">
        <is>
          <t>Candidate</t>
        </is>
      </c>
      <c r="C49" s="21" t="inlineStr">
        <is>
          <t>49.9Ω</t>
        </is>
      </c>
      <c r="D49" s="21" t="inlineStr">
        <is>
          <t>1 PN  |  Total Qty : 8 pcs
Package : 0402</t>
        </is>
      </c>
      <c r="E49" s="21" t="inlineStr"/>
      <c r="F49" s="21" t="n">
        <v>8</v>
      </c>
      <c r="G49" s="21" t="inlineStr">
        <is>
          <t>Nearby Candidate</t>
        </is>
      </c>
      <c r="H49" s="21" t="inlineStr">
        <is>
          <t>'+2.2%</t>
        </is>
      </c>
      <c r="I49" s="21" t="inlineStr">
        <is>
          <t>Candidate Value</t>
        </is>
      </c>
      <c r="J49" s="21" t="inlineStr"/>
      <c r="K49" s="21" t="inlineStr"/>
    </row>
    <row r="50">
      <c r="A50" s="26" t="inlineStr">
        <is>
          <t>R007</t>
        </is>
      </c>
      <c r="B50" s="26" t="inlineStr">
        <is>
          <t>Candidate PN</t>
        </is>
      </c>
      <c r="C50" s="26" t="inlineStr">
        <is>
          <t>49.9Ω</t>
        </is>
      </c>
      <c r="D50" s="26" t="inlineStr">
        <is>
          <t>49.9Ohm 1% 0402</t>
        </is>
      </c>
      <c r="E50" s="26" t="inlineStr">
        <is>
          <t>10G21249R914020</t>
        </is>
      </c>
      <c r="F50" s="26" t="n">
        <v>8</v>
      </c>
      <c r="G50" s="26" t="inlineStr">
        <is>
          <t>Nearby Candidate</t>
        </is>
      </c>
      <c r="H50" s="26" t="inlineStr">
        <is>
          <t>'+2.2%</t>
        </is>
      </c>
      <c r="I50" s="26" t="inlineStr">
        <is>
          <t>Package : 0402</t>
        </is>
      </c>
      <c r="J50" s="26" t="inlineStr"/>
      <c r="K50" s="26" t="inlineStr"/>
    </row>
    <row r="51">
      <c r="A51" s="15" t="inlineStr"/>
      <c r="B51" s="15" t="inlineStr"/>
      <c r="C51" s="15" t="inlineStr"/>
      <c r="D51" s="15" t="inlineStr"/>
      <c r="E51" s="15" t="inlineStr"/>
      <c r="F51" s="15" t="inlineStr"/>
      <c r="G51" s="15" t="inlineStr"/>
      <c r="H51" s="15" t="inlineStr"/>
      <c r="I51" s="15" t="inlineStr"/>
      <c r="J51" s="15" t="inlineStr"/>
      <c r="K51" s="15" t="inlineStr"/>
    </row>
    <row r="52">
      <c r="A52" s="24" t="inlineStr">
        <is>
          <t>R008</t>
        </is>
      </c>
      <c r="B52" s="24" t="inlineStr">
        <is>
          <t>Value Header</t>
        </is>
      </c>
      <c r="C52" s="24" t="inlineStr">
        <is>
          <t>10.2kOhm</t>
        </is>
      </c>
      <c r="D52" s="24" t="inlineStr">
        <is>
          <t>1 PN  |  Total 2 pcs</t>
        </is>
      </c>
      <c r="E52" s="24" t="inlineStr"/>
      <c r="F52" s="24" t="inlineStr"/>
      <c r="G52" s="24" t="inlineStr"/>
      <c r="H52" s="24" t="inlineStr">
        <is>
          <t>10kΩ (+2%), 10.5kΩ (-2.86%)</t>
        </is>
      </c>
      <c r="I52" s="24" t="inlineStr">
        <is>
          <t>🟠 Near Value 10.2kΩ ➔ 10kΩ (+2%)
Target Value : 10kΩ
Package : 0402
Qty : 62 pcs
Difference : +2%
Target Value : 10.5kΩ
Package : 0402
Qty : 2 pcs
Difference : -2.86%</t>
        </is>
      </c>
      <c r="J52" s="24" t="inlineStr"/>
      <c r="K52" s="24" t="inlineStr"/>
    </row>
    <row r="53">
      <c r="A53" s="25" t="inlineStr">
        <is>
          <t>R008</t>
        </is>
      </c>
      <c r="B53" s="25" t="inlineStr">
        <is>
          <t>Spec Header</t>
        </is>
      </c>
      <c r="C53" s="25" t="inlineStr">
        <is>
          <t>10.2kOhm</t>
        </is>
      </c>
      <c r="D53" s="25" t="inlineStr">
        <is>
          <t>10.2kOhm 1% 0402</t>
        </is>
      </c>
      <c r="E53" s="25" t="inlineStr"/>
      <c r="F53" s="25" t="n">
        <v>2</v>
      </c>
      <c r="G53" s="25" t="inlineStr">
        <is>
          <t>Same Spec Group</t>
        </is>
      </c>
      <c r="H53" s="25" t="inlineStr"/>
      <c r="I53" s="25" t="inlineStr">
        <is>
          <t>Qty=2</t>
        </is>
      </c>
      <c r="J53" s="25" t="inlineStr"/>
      <c r="K53" s="25" t="inlineStr"/>
    </row>
    <row r="54">
      <c r="A54" s="26" t="inlineStr">
        <is>
          <t>R008</t>
        </is>
      </c>
      <c r="B54" s="26" t="inlineStr">
        <is>
          <t>PN</t>
        </is>
      </c>
      <c r="C54" s="26" t="inlineStr">
        <is>
          <t>10.2kOhm</t>
        </is>
      </c>
      <c r="D54" s="26" t="inlineStr">
        <is>
          <t>10.2kOhm 1% 0402</t>
        </is>
      </c>
      <c r="E54" s="26" t="inlineStr">
        <is>
          <t>10G212102214020</t>
        </is>
      </c>
      <c r="F54" s="26" t="n">
        <v>2</v>
      </c>
      <c r="G54" s="26" t="inlineStr">
        <is>
          <t>Target</t>
        </is>
      </c>
      <c r="H54" s="26" t="inlineStr"/>
      <c r="I54" s="26" t="inlineStr">
        <is>
          <t>Qty=2</t>
        </is>
      </c>
      <c r="J54" s="26" t="inlineStr"/>
      <c r="K54" s="26" t="inlineStr"/>
    </row>
    <row r="55">
      <c r="A55" s="21" t="inlineStr">
        <is>
          <t>R008</t>
        </is>
      </c>
      <c r="B55" s="21" t="inlineStr">
        <is>
          <t>Candidate</t>
        </is>
      </c>
      <c r="C55" s="21" t="inlineStr">
        <is>
          <t>10kΩ</t>
        </is>
      </c>
      <c r="D55" s="21" t="inlineStr">
        <is>
          <t>1 PN  |  Total Qty : 62 pcs
Package : 0402</t>
        </is>
      </c>
      <c r="E55" s="21" t="inlineStr"/>
      <c r="F55" s="21" t="n">
        <v>62</v>
      </c>
      <c r="G55" s="21" t="inlineStr">
        <is>
          <t>Nearby Candidate</t>
        </is>
      </c>
      <c r="H55" s="21" t="inlineStr">
        <is>
          <t>'+2%</t>
        </is>
      </c>
      <c r="I55" s="21" t="inlineStr">
        <is>
          <t>Candidate Value</t>
        </is>
      </c>
      <c r="J55" s="21" t="inlineStr"/>
      <c r="K55" s="21" t="inlineStr"/>
    </row>
    <row r="56">
      <c r="A56" s="26" t="inlineStr">
        <is>
          <t>R008</t>
        </is>
      </c>
      <c r="B56" s="26" t="inlineStr">
        <is>
          <t>Candidate PN</t>
        </is>
      </c>
      <c r="C56" s="26" t="inlineStr">
        <is>
          <t>10kΩ</t>
        </is>
      </c>
      <c r="D56" s="26" t="inlineStr">
        <is>
          <t>10kOhm 1% 0402</t>
        </is>
      </c>
      <c r="E56" s="26" t="inlineStr">
        <is>
          <t>10G212100214020</t>
        </is>
      </c>
      <c r="F56" s="26" t="n">
        <v>62</v>
      </c>
      <c r="G56" s="26" t="inlineStr">
        <is>
          <t>Nearby Candidate</t>
        </is>
      </c>
      <c r="H56" s="26" t="inlineStr">
        <is>
          <t>'+2%</t>
        </is>
      </c>
      <c r="I56" s="26" t="inlineStr">
        <is>
          <t>Package : 0402</t>
        </is>
      </c>
      <c r="J56" s="26" t="inlineStr"/>
      <c r="K56" s="26" t="inlineStr"/>
    </row>
    <row r="57">
      <c r="A57" s="21" t="inlineStr">
        <is>
          <t>R008</t>
        </is>
      </c>
      <c r="B57" s="21" t="inlineStr">
        <is>
          <t>Candidate</t>
        </is>
      </c>
      <c r="C57" s="21" t="inlineStr">
        <is>
          <t>10.5kΩ</t>
        </is>
      </c>
      <c r="D57" s="21" t="inlineStr">
        <is>
          <t>1 PN  |  Total Qty : 2 pcs
Package : 0402</t>
        </is>
      </c>
      <c r="E57" s="21" t="inlineStr"/>
      <c r="F57" s="21" t="n">
        <v>2</v>
      </c>
      <c r="G57" s="21" t="inlineStr">
        <is>
          <t>Nearby Candidate</t>
        </is>
      </c>
      <c r="H57" s="21" t="inlineStr">
        <is>
          <t>'-2.86%</t>
        </is>
      </c>
      <c r="I57" s="21" t="inlineStr">
        <is>
          <t>Candidate Value</t>
        </is>
      </c>
      <c r="J57" s="21" t="inlineStr"/>
      <c r="K57" s="21" t="inlineStr"/>
    </row>
    <row r="58">
      <c r="A58" s="26" t="inlineStr">
        <is>
          <t>R008</t>
        </is>
      </c>
      <c r="B58" s="26" t="inlineStr">
        <is>
          <t>Candidate PN</t>
        </is>
      </c>
      <c r="C58" s="26" t="inlineStr">
        <is>
          <t>10.5kΩ</t>
        </is>
      </c>
      <c r="D58" s="26" t="inlineStr">
        <is>
          <t>10.5kOhm 1% 0402</t>
        </is>
      </c>
      <c r="E58" s="26" t="inlineStr">
        <is>
          <t>10G212105214050</t>
        </is>
      </c>
      <c r="F58" s="26" t="n">
        <v>2</v>
      </c>
      <c r="G58" s="26" t="inlineStr">
        <is>
          <t>Nearby Candidate</t>
        </is>
      </c>
      <c r="H58" s="26" t="inlineStr">
        <is>
          <t>'-2.86%</t>
        </is>
      </c>
      <c r="I58" s="26" t="inlineStr">
        <is>
          <t>Package : 0402</t>
        </is>
      </c>
      <c r="J58" s="26" t="inlineStr"/>
      <c r="K58" s="26" t="inlineStr"/>
    </row>
    <row r="59">
      <c r="A59" s="15" t="inlineStr"/>
      <c r="B59" s="15" t="inlineStr"/>
      <c r="C59" s="15" t="inlineStr"/>
      <c r="D59" s="15" t="inlineStr"/>
      <c r="E59" s="15" t="inlineStr"/>
      <c r="F59" s="15" t="inlineStr"/>
      <c r="G59" s="15" t="inlineStr"/>
      <c r="H59" s="15" t="inlineStr"/>
      <c r="I59" s="15" t="inlineStr"/>
      <c r="J59" s="15" t="inlineStr"/>
      <c r="K59" s="15" t="inlineStr"/>
    </row>
    <row r="60">
      <c r="A60" s="24" t="inlineStr">
        <is>
          <t>R009</t>
        </is>
      </c>
      <c r="B60" s="24" t="inlineStr">
        <is>
          <t>Value Header</t>
        </is>
      </c>
      <c r="C60" s="24" t="inlineStr">
        <is>
          <t>10Ohm</t>
        </is>
      </c>
      <c r="D60" s="24" t="inlineStr">
        <is>
          <t>2 PN  |  Total 4 pcs</t>
        </is>
      </c>
      <c r="E60" s="24" t="inlineStr"/>
      <c r="F60" s="24" t="inlineStr"/>
      <c r="G60" s="24" t="inlineStr"/>
      <c r="H60" s="24" t="inlineStr"/>
      <c r="I60" s="24" t="inlineStr">
        <is>
          <t>🟡 Package 0402⇄0603</t>
        </is>
      </c>
      <c r="J60" s="24" t="inlineStr"/>
      <c r="K60" s="24" t="inlineStr"/>
    </row>
    <row r="61">
      <c r="A61" s="25" t="inlineStr">
        <is>
          <t>R009</t>
        </is>
      </c>
      <c r="B61" s="25" t="inlineStr">
        <is>
          <t>Spec Header</t>
        </is>
      </c>
      <c r="C61" s="25" t="inlineStr">
        <is>
          <t>10Ohm</t>
        </is>
      </c>
      <c r="D61" s="25" t="inlineStr">
        <is>
          <t>10Ohm 1% 0402</t>
        </is>
      </c>
      <c r="E61" s="25" t="inlineStr"/>
      <c r="F61" s="25" t="n">
        <v>2</v>
      </c>
      <c r="G61" s="25" t="inlineStr">
        <is>
          <t>Same Spec Group</t>
        </is>
      </c>
      <c r="H61" s="25" t="inlineStr"/>
      <c r="I61" s="25" t="inlineStr">
        <is>
          <t>Qty=2</t>
        </is>
      </c>
      <c r="J61" s="25" t="inlineStr"/>
      <c r="K61" s="25" t="inlineStr"/>
    </row>
    <row r="62">
      <c r="A62" s="26" t="inlineStr">
        <is>
          <t>R009</t>
        </is>
      </c>
      <c r="B62" s="26" t="inlineStr">
        <is>
          <t>PN</t>
        </is>
      </c>
      <c r="C62" s="26" t="inlineStr">
        <is>
          <t>10Ohm</t>
        </is>
      </c>
      <c r="D62" s="26" t="inlineStr">
        <is>
          <t>10Ohm 1% 0402</t>
        </is>
      </c>
      <c r="E62" s="26" t="inlineStr">
        <is>
          <t>10G21210R014020</t>
        </is>
      </c>
      <c r="F62" s="26" t="n">
        <v>2</v>
      </c>
      <c r="G62" s="26" t="inlineStr">
        <is>
          <t>Target</t>
        </is>
      </c>
      <c r="H62" s="26" t="inlineStr"/>
      <c r="I62" s="26" t="inlineStr">
        <is>
          <t>Qty=2</t>
        </is>
      </c>
      <c r="J62" s="26" t="inlineStr"/>
      <c r="K62" s="26" t="inlineStr"/>
    </row>
    <row r="63">
      <c r="A63" s="25" t="inlineStr">
        <is>
          <t>R009</t>
        </is>
      </c>
      <c r="B63" s="25" t="inlineStr">
        <is>
          <t>Spec Header</t>
        </is>
      </c>
      <c r="C63" s="25" t="inlineStr">
        <is>
          <t>10Ohm</t>
        </is>
      </c>
      <c r="D63" s="25" t="inlineStr">
        <is>
          <t>10Ohm 1% 0603</t>
        </is>
      </c>
      <c r="E63" s="25" t="inlineStr"/>
      <c r="F63" s="25" t="n">
        <v>2</v>
      </c>
      <c r="G63" s="25" t="inlineStr">
        <is>
          <t>Same Spec Group</t>
        </is>
      </c>
      <c r="H63" s="25" t="inlineStr"/>
      <c r="I63" s="25" t="inlineStr">
        <is>
          <t>Qty=2</t>
        </is>
      </c>
      <c r="J63" s="25" t="inlineStr"/>
      <c r="K63" s="25" t="inlineStr"/>
    </row>
    <row r="64">
      <c r="A64" s="26" t="inlineStr">
        <is>
          <t>R009</t>
        </is>
      </c>
      <c r="B64" s="26" t="inlineStr">
        <is>
          <t>PN</t>
        </is>
      </c>
      <c r="C64" s="26" t="inlineStr">
        <is>
          <t>10Ohm</t>
        </is>
      </c>
      <c r="D64" s="26" t="inlineStr">
        <is>
          <t>10Ohm 1% 0603</t>
        </is>
      </c>
      <c r="E64" s="26" t="inlineStr">
        <is>
          <t>10G21310R013010</t>
        </is>
      </c>
      <c r="F64" s="26" t="n">
        <v>2</v>
      </c>
      <c r="G64" s="26" t="inlineStr">
        <is>
          <t>Target</t>
        </is>
      </c>
      <c r="H64" s="26" t="inlineStr"/>
      <c r="I64" s="26" t="inlineStr">
        <is>
          <t>Qty=2</t>
        </is>
      </c>
      <c r="J64" s="26" t="inlineStr"/>
      <c r="K64" s="26" t="inlineStr"/>
    </row>
    <row r="65">
      <c r="A65" s="15" t="inlineStr"/>
      <c r="B65" s="15" t="inlineStr"/>
      <c r="C65" s="15" t="inlineStr"/>
      <c r="D65" s="15" t="inlineStr"/>
      <c r="E65" s="15" t="inlineStr"/>
      <c r="F65" s="15" t="inlineStr"/>
      <c r="G65" s="15" t="inlineStr"/>
      <c r="H65" s="15" t="inlineStr"/>
      <c r="I65" s="15" t="inlineStr"/>
      <c r="J65" s="15" t="inlineStr"/>
      <c r="K65" s="15" t="inlineStr"/>
    </row>
    <row r="66">
      <c r="A66" s="24" t="inlineStr">
        <is>
          <t>R010</t>
        </is>
      </c>
      <c r="B66" s="24" t="inlineStr">
        <is>
          <t>Value Header</t>
        </is>
      </c>
      <c r="C66" s="24" t="inlineStr">
        <is>
          <t>8.2kOhm</t>
        </is>
      </c>
      <c r="D66" s="24" t="inlineStr">
        <is>
          <t>2 PN  |  Total 5 pcs</t>
        </is>
      </c>
      <c r="E66" s="24" t="inlineStr"/>
      <c r="F66" s="24" t="inlineStr"/>
      <c r="G66" s="24" t="inlineStr"/>
      <c r="H66" s="24" t="inlineStr"/>
      <c r="I66" s="24" t="inlineStr">
        <is>
          <t>🟡 Package 0603⇄0402</t>
        </is>
      </c>
      <c r="J66" s="24" t="inlineStr"/>
      <c r="K66" s="24" t="inlineStr"/>
    </row>
    <row r="67">
      <c r="A67" s="25" t="inlineStr">
        <is>
          <t>R010</t>
        </is>
      </c>
      <c r="B67" s="25" t="inlineStr">
        <is>
          <t>Spec Header</t>
        </is>
      </c>
      <c r="C67" s="25" t="inlineStr">
        <is>
          <t>8.2kOhm</t>
        </is>
      </c>
      <c r="D67" s="25" t="inlineStr">
        <is>
          <t>8.2kOhm 1% 0603</t>
        </is>
      </c>
      <c r="E67" s="25" t="inlineStr"/>
      <c r="F67" s="25" t="n">
        <v>1</v>
      </c>
      <c r="G67" s="25" t="inlineStr">
        <is>
          <t>Same Spec Group</t>
        </is>
      </c>
      <c r="H67" s="25" t="inlineStr"/>
      <c r="I67" s="25" t="inlineStr">
        <is>
          <t>Qty=1</t>
        </is>
      </c>
      <c r="J67" s="25" t="inlineStr"/>
      <c r="K67" s="25" t="inlineStr"/>
    </row>
    <row r="68">
      <c r="A68" s="26" t="inlineStr">
        <is>
          <t>R010</t>
        </is>
      </c>
      <c r="B68" s="26" t="inlineStr">
        <is>
          <t>PN</t>
        </is>
      </c>
      <c r="C68" s="26" t="inlineStr">
        <is>
          <t>8.2kOhm</t>
        </is>
      </c>
      <c r="D68" s="26" t="inlineStr">
        <is>
          <t>8.2kOhm 1% 0603</t>
        </is>
      </c>
      <c r="E68" s="26" t="inlineStr">
        <is>
          <t>10005-00057000</t>
        </is>
      </c>
      <c r="F68" s="26" t="n">
        <v>1</v>
      </c>
      <c r="G68" s="26" t="inlineStr">
        <is>
          <t>Target</t>
        </is>
      </c>
      <c r="H68" s="26" t="inlineStr"/>
      <c r="I68" s="26" t="inlineStr">
        <is>
          <t>Qty=1</t>
        </is>
      </c>
      <c r="J68" s="26" t="inlineStr"/>
      <c r="K68" s="26" t="inlineStr"/>
    </row>
    <row r="69">
      <c r="A69" s="25" t="inlineStr">
        <is>
          <t>R010</t>
        </is>
      </c>
      <c r="B69" s="25" t="inlineStr">
        <is>
          <t>Spec Header</t>
        </is>
      </c>
      <c r="C69" s="25" t="inlineStr">
        <is>
          <t>8.2kOhm</t>
        </is>
      </c>
      <c r="D69" s="25" t="inlineStr">
        <is>
          <t>8.2kOhm 1% 0402</t>
        </is>
      </c>
      <c r="E69" s="25" t="inlineStr"/>
      <c r="F69" s="25" t="n">
        <v>4</v>
      </c>
      <c r="G69" s="25" t="inlineStr">
        <is>
          <t>Same Spec Group</t>
        </is>
      </c>
      <c r="H69" s="25" t="inlineStr"/>
      <c r="I69" s="25" t="inlineStr">
        <is>
          <t>Same Spec</t>
        </is>
      </c>
      <c r="J69" s="25" t="inlineStr"/>
      <c r="K69" s="25" t="inlineStr"/>
    </row>
    <row r="70">
      <c r="A70" s="26" t="inlineStr">
        <is>
          <t>R010</t>
        </is>
      </c>
      <c r="B70" s="26" t="inlineStr">
        <is>
          <t>PN</t>
        </is>
      </c>
      <c r="C70" s="26" t="inlineStr">
        <is>
          <t>8.2kOhm</t>
        </is>
      </c>
      <c r="D70" s="26" t="inlineStr">
        <is>
          <t>8.2kOhm 1% 0402</t>
        </is>
      </c>
      <c r="E70" s="26" t="inlineStr">
        <is>
          <t>10G212820114050</t>
        </is>
      </c>
      <c r="F70" s="26" t="n">
        <v>4</v>
      </c>
      <c r="G70" s="26" t="inlineStr">
        <is>
          <t>Target</t>
        </is>
      </c>
      <c r="H70" s="26" t="inlineStr"/>
      <c r="I70" s="26" t="inlineStr">
        <is>
          <t>Same Spec</t>
        </is>
      </c>
      <c r="J70" s="26" t="inlineStr"/>
      <c r="K70" s="26" t="inlineStr"/>
    </row>
    <row r="71">
      <c r="A71" s="15" t="inlineStr"/>
      <c r="B71" s="15" t="inlineStr"/>
      <c r="C71" s="15" t="inlineStr"/>
      <c r="D71" s="15" t="inlineStr"/>
      <c r="E71" s="15" t="inlineStr"/>
      <c r="F71" s="15" t="inlineStr"/>
      <c r="G71" s="15" t="inlineStr"/>
      <c r="H71" s="15" t="inlineStr"/>
      <c r="I71" s="15" t="inlineStr"/>
      <c r="J71" s="15" t="inlineStr"/>
      <c r="K71" s="15" t="inlineStr"/>
    </row>
    <row r="72">
      <c r="A72" s="24" t="inlineStr">
        <is>
          <t>R011</t>
        </is>
      </c>
      <c r="B72" s="24" t="inlineStr">
        <is>
          <t>Value Header</t>
        </is>
      </c>
      <c r="C72" s="24" t="inlineStr">
        <is>
          <t>1Ohm</t>
        </is>
      </c>
      <c r="D72" s="24" t="inlineStr">
        <is>
          <t>2 PN  |  Total 7 pcs</t>
        </is>
      </c>
      <c r="E72" s="24" t="inlineStr"/>
      <c r="F72" s="24" t="inlineStr"/>
      <c r="G72" s="24" t="inlineStr"/>
      <c r="H72" s="24" t="inlineStr"/>
      <c r="I72" s="24" t="inlineStr">
        <is>
          <t>🟡 Package 0402⇄0603</t>
        </is>
      </c>
      <c r="J72" s="24" t="inlineStr"/>
      <c r="K72" s="24" t="inlineStr"/>
    </row>
    <row r="73">
      <c r="A73" s="25" t="inlineStr">
        <is>
          <t>R011</t>
        </is>
      </c>
      <c r="B73" s="25" t="inlineStr">
        <is>
          <t>Spec Header</t>
        </is>
      </c>
      <c r="C73" s="25" t="inlineStr">
        <is>
          <t>1Ohm</t>
        </is>
      </c>
      <c r="D73" s="25" t="inlineStr">
        <is>
          <t>1Ohm 1% 0402</t>
        </is>
      </c>
      <c r="E73" s="25" t="inlineStr"/>
      <c r="F73" s="25" t="n">
        <v>2</v>
      </c>
      <c r="G73" s="25" t="inlineStr">
        <is>
          <t>Same Spec Group</t>
        </is>
      </c>
      <c r="H73" s="25" t="inlineStr"/>
      <c r="I73" s="25" t="inlineStr">
        <is>
          <t>Qty=2</t>
        </is>
      </c>
      <c r="J73" s="25" t="inlineStr"/>
      <c r="K73" s="25" t="inlineStr"/>
    </row>
    <row r="74">
      <c r="A74" s="26" t="inlineStr">
        <is>
          <t>R011</t>
        </is>
      </c>
      <c r="B74" s="26" t="inlineStr">
        <is>
          <t>PN</t>
        </is>
      </c>
      <c r="C74" s="26" t="inlineStr">
        <is>
          <t>1Ohm</t>
        </is>
      </c>
      <c r="D74" s="26" t="inlineStr">
        <is>
          <t>1Ohm 1% 0402</t>
        </is>
      </c>
      <c r="E74" s="26" t="inlineStr">
        <is>
          <t>10G2121R0014020</t>
        </is>
      </c>
      <c r="F74" s="26" t="n">
        <v>2</v>
      </c>
      <c r="G74" s="26" t="inlineStr">
        <is>
          <t>Target</t>
        </is>
      </c>
      <c r="H74" s="26" t="inlineStr"/>
      <c r="I74" s="26" t="inlineStr">
        <is>
          <t>Qty=2</t>
        </is>
      </c>
      <c r="J74" s="26" t="inlineStr"/>
      <c r="K74" s="26" t="inlineStr"/>
    </row>
    <row r="75">
      <c r="A75" s="25" t="inlineStr">
        <is>
          <t>R011</t>
        </is>
      </c>
      <c r="B75" s="25" t="inlineStr">
        <is>
          <t>Spec Header</t>
        </is>
      </c>
      <c r="C75" s="25" t="inlineStr">
        <is>
          <t>1Ohm</t>
        </is>
      </c>
      <c r="D75" s="25" t="inlineStr">
        <is>
          <t>1Ohm 5% 0603</t>
        </is>
      </c>
      <c r="E75" s="25" t="inlineStr"/>
      <c r="F75" s="25" t="n">
        <v>5</v>
      </c>
      <c r="G75" s="25" t="inlineStr">
        <is>
          <t>Same Spec Group</t>
        </is>
      </c>
      <c r="H75" s="25" t="inlineStr"/>
      <c r="I75" s="25" t="inlineStr">
        <is>
          <t>Same Spec</t>
        </is>
      </c>
      <c r="J75" s="25" t="inlineStr"/>
      <c r="K75" s="25" t="inlineStr"/>
    </row>
    <row r="76">
      <c r="A76" s="26" t="inlineStr">
        <is>
          <t>R011</t>
        </is>
      </c>
      <c r="B76" s="26" t="inlineStr">
        <is>
          <t>PN</t>
        </is>
      </c>
      <c r="C76" s="26" t="inlineStr">
        <is>
          <t>1Ohm</t>
        </is>
      </c>
      <c r="D76" s="26" t="inlineStr">
        <is>
          <t>1Ohm 5% 0603</t>
        </is>
      </c>
      <c r="E76" s="26" t="inlineStr">
        <is>
          <t>10G2131R0003010</t>
        </is>
      </c>
      <c r="F76" s="26" t="n">
        <v>5</v>
      </c>
      <c r="G76" s="26" t="inlineStr">
        <is>
          <t>Target</t>
        </is>
      </c>
      <c r="H76" s="26" t="inlineStr"/>
      <c r="I76" s="26" t="inlineStr">
        <is>
          <t>Same Spec</t>
        </is>
      </c>
      <c r="J76" s="26" t="inlineStr"/>
      <c r="K76" s="26" t="inlineStr"/>
    </row>
    <row r="77">
      <c r="A77" s="15" t="inlineStr"/>
      <c r="B77" s="15" t="inlineStr"/>
      <c r="C77" s="15" t="inlineStr"/>
      <c r="D77" s="15" t="inlineStr"/>
      <c r="E77" s="15" t="inlineStr"/>
      <c r="F77" s="15" t="inlineStr"/>
      <c r="G77" s="15" t="inlineStr"/>
      <c r="H77" s="15" t="inlineStr"/>
      <c r="I77" s="15" t="inlineStr"/>
      <c r="J77" s="15" t="inlineStr"/>
      <c r="K77" s="15" t="inlineStr"/>
    </row>
    <row r="78">
      <c r="A78" s="24" t="inlineStr">
        <is>
          <t>R012</t>
        </is>
      </c>
      <c r="B78" s="24" t="inlineStr">
        <is>
          <t>Value Header</t>
        </is>
      </c>
      <c r="C78" s="24" t="inlineStr">
        <is>
          <t>4.7Ohm</t>
        </is>
      </c>
      <c r="D78" s="24" t="inlineStr">
        <is>
          <t>2 PN  |  Total 9 pcs</t>
        </is>
      </c>
      <c r="E78" s="24" t="inlineStr"/>
      <c r="F78" s="24" t="inlineStr"/>
      <c r="G78" s="24" t="inlineStr"/>
      <c r="H78" s="24" t="inlineStr"/>
      <c r="I78" s="24" t="inlineStr">
        <is>
          <t>🟡 Package 0402⇄0603</t>
        </is>
      </c>
      <c r="J78" s="24" t="inlineStr"/>
      <c r="K78" s="24" t="inlineStr"/>
    </row>
    <row r="79">
      <c r="A79" s="25" t="inlineStr">
        <is>
          <t>R012</t>
        </is>
      </c>
      <c r="B79" s="25" t="inlineStr">
        <is>
          <t>Spec Header</t>
        </is>
      </c>
      <c r="C79" s="25" t="inlineStr">
        <is>
          <t>4.7Ohm</t>
        </is>
      </c>
      <c r="D79" s="25" t="inlineStr">
        <is>
          <t>4.7Ohm 5% 0402</t>
        </is>
      </c>
      <c r="E79" s="25" t="inlineStr"/>
      <c r="F79" s="25" t="n">
        <v>1</v>
      </c>
      <c r="G79" s="25" t="inlineStr">
        <is>
          <t>Same Spec Group</t>
        </is>
      </c>
      <c r="H79" s="25" t="inlineStr"/>
      <c r="I79" s="25" t="inlineStr">
        <is>
          <t>Qty=1</t>
        </is>
      </c>
      <c r="J79" s="25" t="inlineStr"/>
      <c r="K79" s="25" t="inlineStr"/>
    </row>
    <row r="80">
      <c r="A80" s="26" t="inlineStr">
        <is>
          <t>R012</t>
        </is>
      </c>
      <c r="B80" s="26" t="inlineStr">
        <is>
          <t>PN</t>
        </is>
      </c>
      <c r="C80" s="26" t="inlineStr">
        <is>
          <t>4.7Ohm</t>
        </is>
      </c>
      <c r="D80" s="26" t="inlineStr">
        <is>
          <t>4.7Ohm 5% 0402</t>
        </is>
      </c>
      <c r="E80" s="26" t="inlineStr">
        <is>
          <t>10G2124R7004050</t>
        </is>
      </c>
      <c r="F80" s="26" t="n">
        <v>1</v>
      </c>
      <c r="G80" s="26" t="inlineStr">
        <is>
          <t>Target</t>
        </is>
      </c>
      <c r="H80" s="26" t="inlineStr"/>
      <c r="I80" s="26" t="inlineStr">
        <is>
          <t>Qty=1</t>
        </is>
      </c>
      <c r="J80" s="26" t="inlineStr"/>
      <c r="K80" s="26" t="inlineStr"/>
    </row>
    <row r="81">
      <c r="A81" s="25" t="inlineStr">
        <is>
          <t>R012</t>
        </is>
      </c>
      <c r="B81" s="25" t="inlineStr">
        <is>
          <t>Spec Header</t>
        </is>
      </c>
      <c r="C81" s="25" t="inlineStr">
        <is>
          <t>4.7Ohm</t>
        </is>
      </c>
      <c r="D81" s="25" t="inlineStr">
        <is>
          <t>4.7Ohm 5% 0603</t>
        </is>
      </c>
      <c r="E81" s="25" t="inlineStr"/>
      <c r="F81" s="25" t="n">
        <v>8</v>
      </c>
      <c r="G81" s="25" t="inlineStr">
        <is>
          <t>Same Spec Group</t>
        </is>
      </c>
      <c r="H81" s="25" t="inlineStr"/>
      <c r="I81" s="25" t="inlineStr">
        <is>
          <t>Same Spec</t>
        </is>
      </c>
      <c r="J81" s="25" t="inlineStr"/>
      <c r="K81" s="25" t="inlineStr"/>
    </row>
    <row r="82">
      <c r="A82" s="26" t="inlineStr">
        <is>
          <t>R012</t>
        </is>
      </c>
      <c r="B82" s="26" t="inlineStr">
        <is>
          <t>PN</t>
        </is>
      </c>
      <c r="C82" s="26" t="inlineStr">
        <is>
          <t>4.7Ohm</t>
        </is>
      </c>
      <c r="D82" s="26" t="inlineStr">
        <is>
          <t>4.7Ohm 5% 0603</t>
        </is>
      </c>
      <c r="E82" s="26" t="inlineStr">
        <is>
          <t>10G2134R7003010</t>
        </is>
      </c>
      <c r="F82" s="26" t="n">
        <v>8</v>
      </c>
      <c r="G82" s="26" t="inlineStr">
        <is>
          <t>Target</t>
        </is>
      </c>
      <c r="H82" s="26" t="inlineStr"/>
      <c r="I82" s="26" t="inlineStr">
        <is>
          <t>Same Spec</t>
        </is>
      </c>
      <c r="J82" s="26" t="inlineStr"/>
      <c r="K82" s="26" t="inlineStr"/>
    </row>
    <row r="83">
      <c r="A83" s="15" t="inlineStr"/>
      <c r="B83" s="15" t="inlineStr"/>
      <c r="C83" s="15" t="inlineStr"/>
      <c r="D83" s="15" t="inlineStr"/>
      <c r="E83" s="15" t="inlineStr"/>
      <c r="F83" s="15" t="inlineStr"/>
      <c r="G83" s="15" t="inlineStr"/>
      <c r="H83" s="15" t="inlineStr"/>
      <c r="I83" s="15" t="inlineStr"/>
      <c r="J83" s="15" t="inlineStr"/>
      <c r="K83" s="15" t="inlineStr"/>
    </row>
    <row r="84">
      <c r="A84" s="24" t="inlineStr">
        <is>
          <t>R013</t>
        </is>
      </c>
      <c r="B84" s="24" t="inlineStr">
        <is>
          <t>Value Header</t>
        </is>
      </c>
      <c r="C84" s="24" t="inlineStr">
        <is>
          <t>330Ohm</t>
        </is>
      </c>
      <c r="D84" s="24" t="inlineStr">
        <is>
          <t>2 PN  |  Total 11 pcs</t>
        </is>
      </c>
      <c r="E84" s="24" t="inlineStr"/>
      <c r="F84" s="24" t="inlineStr"/>
      <c r="G84" s="24" t="inlineStr"/>
      <c r="H84" s="24" t="inlineStr"/>
      <c r="I84" s="24" t="inlineStr">
        <is>
          <t>🟡 Package 0402⇄0603</t>
        </is>
      </c>
      <c r="J84" s="24" t="inlineStr"/>
      <c r="K84" s="24" t="inlineStr"/>
    </row>
    <row r="85">
      <c r="A85" s="25" t="inlineStr">
        <is>
          <t>R013</t>
        </is>
      </c>
      <c r="B85" s="25" t="inlineStr">
        <is>
          <t>Spec Header</t>
        </is>
      </c>
      <c r="C85" s="25" t="inlineStr">
        <is>
          <t>330Ohm</t>
        </is>
      </c>
      <c r="D85" s="25" t="inlineStr">
        <is>
          <t>330Ohm 1% 0402</t>
        </is>
      </c>
      <c r="E85" s="25" t="inlineStr"/>
      <c r="F85" s="25" t="n">
        <v>1</v>
      </c>
      <c r="G85" s="25" t="inlineStr">
        <is>
          <t>Same Spec Group</t>
        </is>
      </c>
      <c r="H85" s="25" t="inlineStr"/>
      <c r="I85" s="25" t="inlineStr">
        <is>
          <t>Qty=1</t>
        </is>
      </c>
      <c r="J85" s="25" t="inlineStr"/>
      <c r="K85" s="25" t="inlineStr"/>
    </row>
    <row r="86">
      <c r="A86" s="26" t="inlineStr">
        <is>
          <t>R013</t>
        </is>
      </c>
      <c r="B86" s="26" t="inlineStr">
        <is>
          <t>PN</t>
        </is>
      </c>
      <c r="C86" s="26" t="inlineStr">
        <is>
          <t>330Ohm</t>
        </is>
      </c>
      <c r="D86" s="26" t="inlineStr">
        <is>
          <t>330Ohm 1% 0402</t>
        </is>
      </c>
      <c r="E86" s="26" t="inlineStr">
        <is>
          <t>10G212330014050</t>
        </is>
      </c>
      <c r="F86" s="26" t="n">
        <v>1</v>
      </c>
      <c r="G86" s="26" t="inlineStr">
        <is>
          <t>Target</t>
        </is>
      </c>
      <c r="H86" s="26" t="inlineStr"/>
      <c r="I86" s="26" t="inlineStr">
        <is>
          <t>Qty=1</t>
        </is>
      </c>
      <c r="J86" s="26" t="inlineStr"/>
      <c r="K86" s="26" t="inlineStr"/>
    </row>
    <row r="87">
      <c r="A87" s="25" t="inlineStr">
        <is>
          <t>R013</t>
        </is>
      </c>
      <c r="B87" s="25" t="inlineStr">
        <is>
          <t>Spec Header</t>
        </is>
      </c>
      <c r="C87" s="25" t="inlineStr">
        <is>
          <t>330Ohm</t>
        </is>
      </c>
      <c r="D87" s="25" t="inlineStr">
        <is>
          <t>330Ohm 1% 0603</t>
        </is>
      </c>
      <c r="E87" s="25" t="inlineStr"/>
      <c r="F87" s="25" t="n">
        <v>10</v>
      </c>
      <c r="G87" s="25" t="inlineStr">
        <is>
          <t>Same Spec Group</t>
        </is>
      </c>
      <c r="H87" s="25" t="inlineStr"/>
      <c r="I87" s="25" t="inlineStr">
        <is>
          <t>Same Spec</t>
        </is>
      </c>
      <c r="J87" s="25" t="inlineStr"/>
      <c r="K87" s="25" t="inlineStr"/>
    </row>
    <row r="88">
      <c r="A88" s="26" t="inlineStr">
        <is>
          <t>R013</t>
        </is>
      </c>
      <c r="B88" s="26" t="inlineStr">
        <is>
          <t>PN</t>
        </is>
      </c>
      <c r="C88" s="26" t="inlineStr">
        <is>
          <t>330Ohm</t>
        </is>
      </c>
      <c r="D88" s="26" t="inlineStr">
        <is>
          <t>330Ohm 1% 0603</t>
        </is>
      </c>
      <c r="E88" s="26" t="inlineStr">
        <is>
          <t>10G213330013030</t>
        </is>
      </c>
      <c r="F88" s="26" t="n">
        <v>10</v>
      </c>
      <c r="G88" s="26" t="inlineStr">
        <is>
          <t>Target</t>
        </is>
      </c>
      <c r="H88" s="26" t="inlineStr"/>
      <c r="I88" s="26" t="inlineStr">
        <is>
          <t>Same Spec</t>
        </is>
      </c>
      <c r="J88" s="26" t="inlineStr"/>
      <c r="K88" s="26" t="inlineStr"/>
    </row>
    <row r="89">
      <c r="A89" s="15" t="inlineStr"/>
      <c r="B89" s="15" t="inlineStr"/>
      <c r="C89" s="15" t="inlineStr"/>
      <c r="D89" s="15" t="inlineStr"/>
      <c r="E89" s="15" t="inlineStr"/>
      <c r="F89" s="15" t="inlineStr"/>
      <c r="G89" s="15" t="inlineStr"/>
      <c r="H89" s="15" t="inlineStr"/>
      <c r="I89" s="15" t="inlineStr"/>
      <c r="J89" s="15" t="inlineStr"/>
      <c r="K89" s="15" t="inlineStr"/>
    </row>
    <row r="90">
      <c r="A90" s="24" t="inlineStr">
        <is>
          <t>R014</t>
        </is>
      </c>
      <c r="B90" s="24" t="inlineStr">
        <is>
          <t>Value Header</t>
        </is>
      </c>
      <c r="C90" s="24" t="inlineStr">
        <is>
          <t>100Ohm</t>
        </is>
      </c>
      <c r="D90" s="24" t="inlineStr">
        <is>
          <t>2 PN  |  Total 19 pcs</t>
        </is>
      </c>
      <c r="E90" s="24" t="inlineStr"/>
      <c r="F90" s="24" t="inlineStr"/>
      <c r="G90" s="24" t="inlineStr"/>
      <c r="H90" s="24" t="inlineStr"/>
      <c r="I90" s="24" t="inlineStr">
        <is>
          <t>🟡 Package 0201⇄0402</t>
        </is>
      </c>
      <c r="J90" s="24" t="inlineStr"/>
      <c r="K90" s="24" t="inlineStr"/>
    </row>
    <row r="91">
      <c r="A91" s="25" t="inlineStr">
        <is>
          <t>R014</t>
        </is>
      </c>
      <c r="B91" s="25" t="inlineStr">
        <is>
          <t>Spec Header</t>
        </is>
      </c>
      <c r="C91" s="25" t="inlineStr">
        <is>
          <t>100Ohm</t>
        </is>
      </c>
      <c r="D91" s="25" t="inlineStr">
        <is>
          <t>100Ohm 1% 0201</t>
        </is>
      </c>
      <c r="E91" s="25" t="inlineStr"/>
      <c r="F91" s="25" t="n">
        <v>2</v>
      </c>
      <c r="G91" s="25" t="inlineStr">
        <is>
          <t>Same Spec Group</t>
        </is>
      </c>
      <c r="H91" s="25" t="inlineStr"/>
      <c r="I91" s="25" t="inlineStr">
        <is>
          <t>Qty=2</t>
        </is>
      </c>
      <c r="J91" s="25" t="inlineStr"/>
      <c r="K91" s="25" t="inlineStr"/>
    </row>
    <row r="92">
      <c r="A92" s="26" t="inlineStr">
        <is>
          <t>R014</t>
        </is>
      </c>
      <c r="B92" s="26" t="inlineStr">
        <is>
          <t>PN</t>
        </is>
      </c>
      <c r="C92" s="26" t="inlineStr">
        <is>
          <t>100Ohm</t>
        </is>
      </c>
      <c r="D92" s="26" t="inlineStr">
        <is>
          <t>100Ohm 1% 0201</t>
        </is>
      </c>
      <c r="E92" s="26" t="inlineStr">
        <is>
          <t>10G211100017010</t>
        </is>
      </c>
      <c r="F92" s="26" t="n">
        <v>2</v>
      </c>
      <c r="G92" s="26" t="inlineStr">
        <is>
          <t>Target</t>
        </is>
      </c>
      <c r="H92" s="26" t="inlineStr"/>
      <c r="I92" s="26" t="inlineStr">
        <is>
          <t>Qty=2</t>
        </is>
      </c>
      <c r="J92" s="26" t="inlineStr"/>
      <c r="K92" s="26" t="inlineStr"/>
    </row>
    <row r="93">
      <c r="A93" s="25" t="inlineStr">
        <is>
          <t>R014</t>
        </is>
      </c>
      <c r="B93" s="25" t="inlineStr">
        <is>
          <t>Spec Header</t>
        </is>
      </c>
      <c r="C93" s="25" t="inlineStr">
        <is>
          <t>100Ohm</t>
        </is>
      </c>
      <c r="D93" s="25" t="inlineStr">
        <is>
          <t>100Ohm 1% 0402</t>
        </is>
      </c>
      <c r="E93" s="25" t="inlineStr"/>
      <c r="F93" s="25" t="n">
        <v>17</v>
      </c>
      <c r="G93" s="25" t="inlineStr">
        <is>
          <t>Same Spec Group</t>
        </is>
      </c>
      <c r="H93" s="25" t="inlineStr"/>
      <c r="I93" s="25" t="inlineStr">
        <is>
          <t>Same Spec</t>
        </is>
      </c>
      <c r="J93" s="25" t="inlineStr"/>
      <c r="K93" s="25" t="inlineStr"/>
    </row>
    <row r="94">
      <c r="A94" s="26" t="inlineStr">
        <is>
          <t>R014</t>
        </is>
      </c>
      <c r="B94" s="26" t="inlineStr">
        <is>
          <t>PN</t>
        </is>
      </c>
      <c r="C94" s="26" t="inlineStr">
        <is>
          <t>100Ohm</t>
        </is>
      </c>
      <c r="D94" s="26" t="inlineStr">
        <is>
          <t>100Ohm 1% 0402</t>
        </is>
      </c>
      <c r="E94" s="26" t="inlineStr">
        <is>
          <t>10G212100014020</t>
        </is>
      </c>
      <c r="F94" s="26" t="n">
        <v>17</v>
      </c>
      <c r="G94" s="26" t="inlineStr">
        <is>
          <t>Target</t>
        </is>
      </c>
      <c r="H94" s="26" t="inlineStr"/>
      <c r="I94" s="26" t="inlineStr">
        <is>
          <t>Same Spec</t>
        </is>
      </c>
      <c r="J94" s="26" t="inlineStr"/>
      <c r="K94" s="26" t="inlineStr"/>
    </row>
    <row r="95">
      <c r="A95" s="15" t="inlineStr"/>
      <c r="B95" s="15" t="inlineStr"/>
      <c r="C95" s="15" t="inlineStr"/>
      <c r="D95" s="15" t="inlineStr"/>
      <c r="E95" s="15" t="inlineStr"/>
      <c r="F95" s="15" t="inlineStr"/>
      <c r="G95" s="15" t="inlineStr"/>
      <c r="H95" s="15" t="inlineStr"/>
      <c r="I95" s="15" t="inlineStr"/>
      <c r="J95" s="15" t="inlineStr"/>
      <c r="K95" s="15" t="inlineStr"/>
    </row>
    <row r="96">
      <c r="A96" s="24" t="inlineStr">
        <is>
          <t>R015</t>
        </is>
      </c>
      <c r="B96" s="24" t="inlineStr">
        <is>
          <t>Value Header</t>
        </is>
      </c>
      <c r="C96" s="24" t="inlineStr">
        <is>
          <t>2.2Ohm</t>
        </is>
      </c>
      <c r="D96" s="24" t="inlineStr">
        <is>
          <t>2 PN  |  Total 19 pcs</t>
        </is>
      </c>
      <c r="E96" s="24" t="inlineStr"/>
      <c r="F96" s="24" t="inlineStr"/>
      <c r="G96" s="24" t="inlineStr"/>
      <c r="H96" s="24" t="inlineStr"/>
      <c r="I96" s="24" t="inlineStr">
        <is>
          <t>🟡 Package 0402⇄0603</t>
        </is>
      </c>
      <c r="J96" s="24" t="inlineStr"/>
      <c r="K96" s="24" t="inlineStr"/>
    </row>
    <row r="97">
      <c r="A97" s="25" t="inlineStr">
        <is>
          <t>R015</t>
        </is>
      </c>
      <c r="B97" s="25" t="inlineStr">
        <is>
          <t>Spec Header</t>
        </is>
      </c>
      <c r="C97" s="25" t="inlineStr">
        <is>
          <t>2.2Ohm</t>
        </is>
      </c>
      <c r="D97" s="25" t="inlineStr">
        <is>
          <t>2.2Ohm 5% 0603</t>
        </is>
      </c>
      <c r="E97" s="25" t="inlineStr"/>
      <c r="F97" s="25" t="n">
        <v>9</v>
      </c>
      <c r="G97" s="25" t="inlineStr">
        <is>
          <t>Same Spec Group</t>
        </is>
      </c>
      <c r="H97" s="25" t="inlineStr"/>
      <c r="I97" s="25" t="inlineStr">
        <is>
          <t>Same Spec</t>
        </is>
      </c>
      <c r="J97" s="25" t="inlineStr"/>
      <c r="K97" s="25" t="inlineStr"/>
    </row>
    <row r="98">
      <c r="A98" s="26" t="inlineStr">
        <is>
          <t>R015</t>
        </is>
      </c>
      <c r="B98" s="26" t="inlineStr">
        <is>
          <t>PN</t>
        </is>
      </c>
      <c r="C98" s="26" t="inlineStr">
        <is>
          <t>2.2Ohm</t>
        </is>
      </c>
      <c r="D98" s="26" t="inlineStr">
        <is>
          <t>2.2Ohm 5% 0603</t>
        </is>
      </c>
      <c r="E98" s="26" t="inlineStr">
        <is>
          <t>10G2132R2003010</t>
        </is>
      </c>
      <c r="F98" s="26" t="n">
        <v>9</v>
      </c>
      <c r="G98" s="26" t="inlineStr">
        <is>
          <t>Target</t>
        </is>
      </c>
      <c r="H98" s="26" t="inlineStr"/>
      <c r="I98" s="26" t="inlineStr">
        <is>
          <t>Same Spec</t>
        </is>
      </c>
      <c r="J98" s="26" t="inlineStr"/>
      <c r="K98" s="26" t="inlineStr"/>
    </row>
    <row r="99">
      <c r="A99" s="25" t="inlineStr">
        <is>
          <t>R015</t>
        </is>
      </c>
      <c r="B99" s="25" t="inlineStr">
        <is>
          <t>Spec Header</t>
        </is>
      </c>
      <c r="C99" s="25" t="inlineStr">
        <is>
          <t>2.2Ohm</t>
        </is>
      </c>
      <c r="D99" s="25" t="inlineStr">
        <is>
          <t>2.2Ohm 1% 0402</t>
        </is>
      </c>
      <c r="E99" s="25" t="inlineStr"/>
      <c r="F99" s="25" t="n">
        <v>10</v>
      </c>
      <c r="G99" s="25" t="inlineStr">
        <is>
          <t>Same Spec Group</t>
        </is>
      </c>
      <c r="H99" s="25" t="inlineStr"/>
      <c r="I99" s="25" t="inlineStr">
        <is>
          <t>Same Spec</t>
        </is>
      </c>
      <c r="J99" s="25" t="inlineStr"/>
      <c r="K99" s="25" t="inlineStr"/>
    </row>
    <row r="100">
      <c r="A100" s="26" t="inlineStr">
        <is>
          <t>R015</t>
        </is>
      </c>
      <c r="B100" s="26" t="inlineStr">
        <is>
          <t>PN</t>
        </is>
      </c>
      <c r="C100" s="26" t="inlineStr">
        <is>
          <t>2.2Ohm</t>
        </is>
      </c>
      <c r="D100" s="26" t="inlineStr">
        <is>
          <t>2.2Ohm 1% 0402</t>
        </is>
      </c>
      <c r="E100" s="26" t="inlineStr">
        <is>
          <t>10G2122R2014031</t>
        </is>
      </c>
      <c r="F100" s="26" t="n">
        <v>10</v>
      </c>
      <c r="G100" s="26" t="inlineStr">
        <is>
          <t>Target</t>
        </is>
      </c>
      <c r="H100" s="26" t="inlineStr"/>
      <c r="I100" s="26" t="inlineStr">
        <is>
          <t>Same Spec</t>
        </is>
      </c>
      <c r="J100" s="26" t="inlineStr"/>
      <c r="K100" s="26" t="inlineStr"/>
    </row>
    <row r="101">
      <c r="A101" s="15" t="inlineStr"/>
      <c r="B101" s="15" t="inlineStr"/>
      <c r="C101" s="15" t="inlineStr"/>
      <c r="D101" s="15" t="inlineStr"/>
      <c r="E101" s="15" t="inlineStr"/>
      <c r="F101" s="15" t="inlineStr"/>
      <c r="G101" s="15" t="inlineStr"/>
      <c r="H101" s="15" t="inlineStr"/>
      <c r="I101" s="15" t="inlineStr"/>
      <c r="J101" s="15" t="inlineStr"/>
      <c r="K101" s="15" t="inlineStr"/>
    </row>
    <row r="102">
      <c r="A102" s="24" t="inlineStr">
        <is>
          <t>R016</t>
        </is>
      </c>
      <c r="B102" s="24" t="inlineStr">
        <is>
          <t>Value Header</t>
        </is>
      </c>
      <c r="C102" s="24" t="inlineStr">
        <is>
          <t>1kOhm</t>
        </is>
      </c>
      <c r="D102" s="24" t="inlineStr">
        <is>
          <t>2 PN  |  Total 43 pcs</t>
        </is>
      </c>
      <c r="E102" s="24" t="inlineStr"/>
      <c r="F102" s="24" t="inlineStr"/>
      <c r="G102" s="24" t="inlineStr"/>
      <c r="H102" s="24" t="inlineStr"/>
      <c r="I102" s="24" t="inlineStr">
        <is>
          <t>🟡 Package 0402⇄1206</t>
        </is>
      </c>
      <c r="J102" s="24" t="inlineStr"/>
      <c r="K102" s="24" t="inlineStr"/>
    </row>
    <row r="103">
      <c r="A103" s="25" t="inlineStr">
        <is>
          <t>R016</t>
        </is>
      </c>
      <c r="B103" s="25" t="inlineStr">
        <is>
          <t>Spec Header</t>
        </is>
      </c>
      <c r="C103" s="25" t="inlineStr">
        <is>
          <t>1kOhm</t>
        </is>
      </c>
      <c r="D103" s="25" t="inlineStr">
        <is>
          <t>1kOhm 5% 1206</t>
        </is>
      </c>
      <c r="E103" s="25" t="inlineStr"/>
      <c r="F103" s="25" t="n">
        <v>1</v>
      </c>
      <c r="G103" s="25" t="inlineStr">
        <is>
          <t>Same Spec Group</t>
        </is>
      </c>
      <c r="H103" s="25" t="inlineStr"/>
      <c r="I103" s="25" t="inlineStr">
        <is>
          <t>Qty=1</t>
        </is>
      </c>
      <c r="J103" s="25" t="inlineStr"/>
      <c r="K103" s="25" t="inlineStr"/>
    </row>
    <row r="104">
      <c r="A104" s="26" t="inlineStr">
        <is>
          <t>R016</t>
        </is>
      </c>
      <c r="B104" s="26" t="inlineStr">
        <is>
          <t>PN</t>
        </is>
      </c>
      <c r="C104" s="26" t="inlineStr">
        <is>
          <t>1kOhm</t>
        </is>
      </c>
      <c r="D104" s="26" t="inlineStr">
        <is>
          <t>1kOhm 5% 1206</t>
        </is>
      </c>
      <c r="E104" s="26" t="inlineStr">
        <is>
          <t>10G216102001030</t>
        </is>
      </c>
      <c r="F104" s="26" t="n">
        <v>1</v>
      </c>
      <c r="G104" s="26" t="inlineStr">
        <is>
          <t>Target</t>
        </is>
      </c>
      <c r="H104" s="26" t="inlineStr"/>
      <c r="I104" s="26" t="inlineStr">
        <is>
          <t>Qty=1</t>
        </is>
      </c>
      <c r="J104" s="26" t="inlineStr"/>
      <c r="K104" s="26" t="inlineStr"/>
    </row>
    <row r="105">
      <c r="A105" s="25" t="inlineStr">
        <is>
          <t>R016</t>
        </is>
      </c>
      <c r="B105" s="25" t="inlineStr">
        <is>
          <t>Spec Header</t>
        </is>
      </c>
      <c r="C105" s="25" t="inlineStr">
        <is>
          <t>1kOhm</t>
        </is>
      </c>
      <c r="D105" s="25" t="inlineStr">
        <is>
          <t>1kOhm 1% 0402</t>
        </is>
      </c>
      <c r="E105" s="25" t="inlineStr"/>
      <c r="F105" s="25" t="n">
        <v>42</v>
      </c>
      <c r="G105" s="25" t="inlineStr">
        <is>
          <t>Same Spec Group</t>
        </is>
      </c>
      <c r="H105" s="25" t="inlineStr"/>
      <c r="I105" s="25" t="inlineStr">
        <is>
          <t>Same Spec</t>
        </is>
      </c>
      <c r="J105" s="25" t="inlineStr"/>
      <c r="K105" s="25" t="inlineStr"/>
    </row>
    <row r="106">
      <c r="A106" s="26" t="inlineStr">
        <is>
          <t>R016</t>
        </is>
      </c>
      <c r="B106" s="26" t="inlineStr">
        <is>
          <t>PN</t>
        </is>
      </c>
      <c r="C106" s="26" t="inlineStr">
        <is>
          <t>1kOhm</t>
        </is>
      </c>
      <c r="D106" s="26" t="inlineStr">
        <is>
          <t>1kOhm 1% 0402</t>
        </is>
      </c>
      <c r="E106" s="26" t="inlineStr">
        <is>
          <t>10G212100114010</t>
        </is>
      </c>
      <c r="F106" s="26" t="n">
        <v>42</v>
      </c>
      <c r="G106" s="26" t="inlineStr">
        <is>
          <t>Target</t>
        </is>
      </c>
      <c r="H106" s="26" t="inlineStr"/>
      <c r="I106" s="26" t="inlineStr">
        <is>
          <t>Same Spec</t>
        </is>
      </c>
      <c r="J106" s="26" t="inlineStr"/>
      <c r="K106" s="26" t="inlineStr"/>
    </row>
    <row r="107">
      <c r="A107" s="15" t="inlineStr"/>
      <c r="B107" s="15" t="inlineStr"/>
      <c r="C107" s="15" t="inlineStr"/>
      <c r="D107" s="15" t="inlineStr"/>
      <c r="E107" s="15" t="inlineStr"/>
      <c r="F107" s="15" t="inlineStr"/>
      <c r="G107" s="15" t="inlineStr"/>
      <c r="H107" s="15" t="inlineStr"/>
      <c r="I107" s="15" t="inlineStr"/>
      <c r="J107" s="15" t="inlineStr"/>
      <c r="K107" s="15" t="inlineStr"/>
    </row>
    <row r="108">
      <c r="A108" s="24" t="inlineStr">
        <is>
          <t>R017</t>
        </is>
      </c>
      <c r="B108" s="24" t="inlineStr">
        <is>
          <t>Value Header</t>
        </is>
      </c>
      <c r="C108" s="24" t="inlineStr">
        <is>
          <t>100kOhm</t>
        </is>
      </c>
      <c r="D108" s="24" t="inlineStr">
        <is>
          <t>2 PN  |  Total 70 pcs</t>
        </is>
      </c>
      <c r="E108" s="24" t="inlineStr"/>
      <c r="F108" s="24" t="inlineStr"/>
      <c r="G108" s="24" t="inlineStr"/>
      <c r="H108" s="24" t="inlineStr"/>
      <c r="I108" s="24" t="inlineStr">
        <is>
          <t>🟡 Package 0201⇄0402</t>
        </is>
      </c>
      <c r="J108" s="24" t="inlineStr"/>
      <c r="K108" s="24" t="inlineStr"/>
    </row>
    <row r="109">
      <c r="A109" s="25" t="inlineStr">
        <is>
          <t>R017</t>
        </is>
      </c>
      <c r="B109" s="25" t="inlineStr">
        <is>
          <t>Spec Header</t>
        </is>
      </c>
      <c r="C109" s="25" t="inlineStr">
        <is>
          <t>100kOhm</t>
        </is>
      </c>
      <c r="D109" s="25" t="inlineStr">
        <is>
          <t>100kOhm 1% 0201</t>
        </is>
      </c>
      <c r="E109" s="25" t="inlineStr"/>
      <c r="F109" s="25" t="n">
        <v>4</v>
      </c>
      <c r="G109" s="25" t="inlineStr">
        <is>
          <t>Same Spec Group</t>
        </is>
      </c>
      <c r="H109" s="25" t="inlineStr"/>
      <c r="I109" s="25" t="inlineStr">
        <is>
          <t>Same Spec</t>
        </is>
      </c>
      <c r="J109" s="25" t="inlineStr"/>
      <c r="K109" s="25" t="inlineStr"/>
    </row>
    <row r="110">
      <c r="A110" s="26" t="inlineStr">
        <is>
          <t>R017</t>
        </is>
      </c>
      <c r="B110" s="26" t="inlineStr">
        <is>
          <t>PN</t>
        </is>
      </c>
      <c r="C110" s="26" t="inlineStr">
        <is>
          <t>100kOhm</t>
        </is>
      </c>
      <c r="D110" s="26" t="inlineStr">
        <is>
          <t>100kOhm 1% 0201</t>
        </is>
      </c>
      <c r="E110" s="26" t="inlineStr">
        <is>
          <t>10G211100317030</t>
        </is>
      </c>
      <c r="F110" s="26" t="n">
        <v>4</v>
      </c>
      <c r="G110" s="26" t="inlineStr">
        <is>
          <t>Target</t>
        </is>
      </c>
      <c r="H110" s="26" t="inlineStr"/>
      <c r="I110" s="26" t="inlineStr">
        <is>
          <t>Same Spec</t>
        </is>
      </c>
      <c r="J110" s="26" t="inlineStr"/>
      <c r="K110" s="26" t="inlineStr"/>
    </row>
    <row r="111">
      <c r="A111" s="25" t="inlineStr">
        <is>
          <t>R017</t>
        </is>
      </c>
      <c r="B111" s="25" t="inlineStr">
        <is>
          <t>Spec Header</t>
        </is>
      </c>
      <c r="C111" s="25" t="inlineStr">
        <is>
          <t>100kOhm</t>
        </is>
      </c>
      <c r="D111" s="25" t="inlineStr">
        <is>
          <t>100kOhm 1% 0402</t>
        </is>
      </c>
      <c r="E111" s="25" t="inlineStr"/>
      <c r="F111" s="25" t="n">
        <v>66</v>
      </c>
      <c r="G111" s="25" t="inlineStr">
        <is>
          <t>Same Spec Group</t>
        </is>
      </c>
      <c r="H111" s="25" t="inlineStr"/>
      <c r="I111" s="25" t="inlineStr">
        <is>
          <t>Same Spec</t>
        </is>
      </c>
      <c r="J111" s="25" t="inlineStr"/>
      <c r="K111" s="25" t="inlineStr"/>
    </row>
    <row r="112">
      <c r="A112" s="26" t="inlineStr">
        <is>
          <t>R017</t>
        </is>
      </c>
      <c r="B112" s="26" t="inlineStr">
        <is>
          <t>PN</t>
        </is>
      </c>
      <c r="C112" s="26" t="inlineStr">
        <is>
          <t>100kOhm</t>
        </is>
      </c>
      <c r="D112" s="26" t="inlineStr">
        <is>
          <t>100kOhm 1% 0402</t>
        </is>
      </c>
      <c r="E112" s="26" t="inlineStr">
        <is>
          <t>10G212100314020</t>
        </is>
      </c>
      <c r="F112" s="26" t="n">
        <v>66</v>
      </c>
      <c r="G112" s="26" t="inlineStr">
        <is>
          <t>Target</t>
        </is>
      </c>
      <c r="H112" s="26" t="inlineStr"/>
      <c r="I112" s="26" t="inlineStr">
        <is>
          <t>Same Spec</t>
        </is>
      </c>
      <c r="J112" s="26" t="inlineStr"/>
      <c r="K112" s="26" t="inlineStr"/>
    </row>
    <row r="113">
      <c r="A113" s="15" t="inlineStr"/>
      <c r="B113" s="15" t="inlineStr"/>
      <c r="C113" s="15" t="inlineStr"/>
      <c r="D113" s="15" t="inlineStr"/>
      <c r="E113" s="15" t="inlineStr"/>
      <c r="F113" s="15" t="inlineStr"/>
      <c r="G113" s="15" t="inlineStr"/>
      <c r="H113" s="15" t="inlineStr"/>
      <c r="I113" s="15" t="inlineStr"/>
      <c r="J113" s="15" t="inlineStr"/>
      <c r="K113" s="15" t="inlineStr"/>
    </row>
    <row r="114">
      <c r="A114" s="24" t="inlineStr">
        <is>
          <t>R018</t>
        </is>
      </c>
      <c r="B114" s="24" t="inlineStr">
        <is>
          <t>Value Header</t>
        </is>
      </c>
      <c r="C114" s="24" t="inlineStr">
        <is>
          <t>0Ohm</t>
        </is>
      </c>
      <c r="D114" s="24" t="inlineStr">
        <is>
          <t>2 PN  |  Total 160 pcs</t>
        </is>
      </c>
      <c r="E114" s="24" t="inlineStr"/>
      <c r="F114" s="24" t="inlineStr"/>
      <c r="G114" s="24" t="inlineStr"/>
      <c r="H114" s="24" t="inlineStr"/>
      <c r="I114" s="24" t="inlineStr">
        <is>
          <t>🟡 Package 0402⇄0603</t>
        </is>
      </c>
      <c r="J114" s="24" t="inlineStr"/>
      <c r="K114" s="24" t="inlineStr"/>
    </row>
    <row r="115">
      <c r="A115" s="25" t="inlineStr">
        <is>
          <t>R018</t>
        </is>
      </c>
      <c r="B115" s="25" t="inlineStr">
        <is>
          <t>Spec Header</t>
        </is>
      </c>
      <c r="C115" s="25" t="inlineStr">
        <is>
          <t>0Ohm</t>
        </is>
      </c>
      <c r="D115" s="25" t="inlineStr">
        <is>
          <t>0Ohm 1% 0603</t>
        </is>
      </c>
      <c r="E115" s="25" t="inlineStr"/>
      <c r="F115" s="25" t="n">
        <v>20</v>
      </c>
      <c r="G115" s="25" t="inlineStr">
        <is>
          <t>Same Spec Group</t>
        </is>
      </c>
      <c r="H115" s="25" t="inlineStr"/>
      <c r="I115" s="25" t="inlineStr">
        <is>
          <t>Same Spec</t>
        </is>
      </c>
      <c r="J115" s="25" t="inlineStr"/>
      <c r="K115" s="25" t="inlineStr"/>
    </row>
    <row r="116">
      <c r="A116" s="26" t="inlineStr">
        <is>
          <t>R018</t>
        </is>
      </c>
      <c r="B116" s="26" t="inlineStr">
        <is>
          <t>PN</t>
        </is>
      </c>
      <c r="C116" s="26" t="inlineStr">
        <is>
          <t>0Ohm</t>
        </is>
      </c>
      <c r="D116" s="26" t="inlineStr">
        <is>
          <t>0Ohm 1% 0603</t>
        </is>
      </c>
      <c r="E116" s="26" t="inlineStr">
        <is>
          <t>10G213000013020</t>
        </is>
      </c>
      <c r="F116" s="26" t="n">
        <v>20</v>
      </c>
      <c r="G116" s="26" t="inlineStr">
        <is>
          <t>Target</t>
        </is>
      </c>
      <c r="H116" s="26" t="inlineStr"/>
      <c r="I116" s="26" t="inlineStr">
        <is>
          <t>Same Spec</t>
        </is>
      </c>
      <c r="J116" s="26" t="inlineStr"/>
      <c r="K116" s="26" t="inlineStr"/>
    </row>
    <row r="117">
      <c r="A117" s="25" t="inlineStr">
        <is>
          <t>R018</t>
        </is>
      </c>
      <c r="B117" s="25" t="inlineStr">
        <is>
          <t>Spec Header</t>
        </is>
      </c>
      <c r="C117" s="25" t="inlineStr">
        <is>
          <t>0Ohm</t>
        </is>
      </c>
      <c r="D117" s="25" t="inlineStr">
        <is>
          <t>0Ohm 5% 0402</t>
        </is>
      </c>
      <c r="E117" s="25" t="inlineStr"/>
      <c r="F117" s="25" t="n">
        <v>140</v>
      </c>
      <c r="G117" s="25" t="inlineStr">
        <is>
          <t>Same Spec Group</t>
        </is>
      </c>
      <c r="H117" s="25" t="inlineStr"/>
      <c r="I117" s="25" t="inlineStr">
        <is>
          <t>Same Spec</t>
        </is>
      </c>
      <c r="J117" s="25" t="inlineStr"/>
      <c r="K117" s="25" t="inlineStr"/>
    </row>
    <row r="118">
      <c r="A118" s="26" t="inlineStr">
        <is>
          <t>R018</t>
        </is>
      </c>
      <c r="B118" s="26" t="inlineStr">
        <is>
          <t>PN</t>
        </is>
      </c>
      <c r="C118" s="26" t="inlineStr">
        <is>
          <t>0Ohm</t>
        </is>
      </c>
      <c r="D118" s="26" t="inlineStr">
        <is>
          <t>0Ohm 5% 0402</t>
        </is>
      </c>
      <c r="E118" s="26" t="inlineStr">
        <is>
          <t>10G212000004020</t>
        </is>
      </c>
      <c r="F118" s="26" t="n">
        <v>140</v>
      </c>
      <c r="G118" s="26" t="inlineStr">
        <is>
          <t>Target</t>
        </is>
      </c>
      <c r="H118" s="26" t="inlineStr"/>
      <c r="I118" s="26" t="inlineStr">
        <is>
          <t>Same Spec</t>
        </is>
      </c>
      <c r="J118" s="26" t="inlineStr"/>
      <c r="K118" s="26" t="inlineStr"/>
    </row>
    <row r="119">
      <c r="A119" s="15" t="inlineStr"/>
      <c r="B119" s="15" t="inlineStr"/>
      <c r="C119" s="15" t="inlineStr"/>
      <c r="D119" s="15" t="inlineStr"/>
      <c r="E119" s="15" t="inlineStr"/>
      <c r="F119" s="15" t="inlineStr"/>
      <c r="G119" s="15" t="inlineStr"/>
      <c r="H119" s="15" t="inlineStr"/>
      <c r="I119" s="15" t="inlineStr"/>
      <c r="J119" s="15" t="inlineStr"/>
      <c r="K119" s="15" t="inlineStr"/>
    </row>
  </sheetData>
  <autoFilter ref="A1:K119"/>
  <conditionalFormatting sqref="J2:J119">
    <cfRule type="expression" priority="1" dxfId="0">
      <formula>$J2="🟢 Merge"</formula>
    </cfRule>
    <cfRule type="expression" priority="2" dxfId="1">
      <formula>$J2="🟡 Review"</formula>
    </cfRule>
    <cfRule type="expression" priority="3" dxfId="2">
      <formula>$J2="⚪ Keep"</formula>
    </cfRule>
  </conditionalFormatting>
  <dataValidations count="1">
    <dataValidation sqref="J2:J1048576" showDropDown="0" showInputMessage="0" showErrorMessage="0" allowBlank="1" errorTitle="Invalid BOM Action" error="Please choose Merge, Review, or Keep." promptTitle="BOM Action" prompt="Select the BOM action for this merge row." type="list">
      <formula1>"🟢 Merge,🟡 Review,⚪ Keep"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4"/>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16" customWidth="1" min="3" max="3"/>
    <col width="14" customWidth="1" min="4" max="4"/>
    <col width="12" customWidth="1" min="5" max="5"/>
    <col width="14" customWidth="1" min="6" max="6"/>
    <col width="34" customWidth="1" min="7" max="7"/>
    <col width="32" customWidth="1" min="8" max="8"/>
  </cols>
  <sheetData>
    <row r="1" ht="30" customHeight="1">
      <c r="A1" s="14" t="inlineStr">
        <is>
          <t>Current Value</t>
        </is>
      </c>
      <c r="B1" s="14" t="inlineStr">
        <is>
          <t>Current BOM Qty</t>
        </is>
      </c>
      <c r="C1" s="14" t="inlineStr">
        <is>
          <t>Nearby Value</t>
        </is>
      </c>
      <c r="D1" s="14" t="inlineStr">
        <is>
          <t>Candidate Qty</t>
        </is>
      </c>
      <c r="E1" s="14" t="inlineStr">
        <is>
          <t>Difference</t>
        </is>
      </c>
      <c r="F1" s="14" t="inlineStr">
        <is>
          <t>Tolerance Band</t>
        </is>
      </c>
      <c r="G1" s="14" t="inlineStr">
        <is>
          <t>Family</t>
        </is>
      </c>
      <c r="H1" s="14" t="inlineStr">
        <is>
          <t>Candidate PNs</t>
        </is>
      </c>
    </row>
    <row r="2">
      <c r="A2" s="16" t="inlineStr">
        <is>
          <t>10.2kOhm</t>
        </is>
      </c>
      <c r="B2" s="16" t="n">
        <v>8</v>
      </c>
      <c r="C2" s="16" t="inlineStr">
        <is>
          <t>10kOhm</t>
        </is>
      </c>
      <c r="D2" s="16" t="n">
        <v>248</v>
      </c>
      <c r="E2" s="16" t="inlineStr">
        <is>
          <t>'-1.96%</t>
        </is>
      </c>
      <c r="F2" s="16" t="inlineStr">
        <is>
          <t>±2%</t>
        </is>
      </c>
      <c r="G2" s="16" t="inlineStr">
        <is>
          <t>1% 0.0625W 0402</t>
        </is>
      </c>
      <c r="H2" s="16" t="inlineStr">
        <is>
          <t>10G212100214020, 10G212100214010, 10G212100214030, 10G212100214050</t>
        </is>
      </c>
    </row>
    <row r="3">
      <c r="A3" s="15" t="inlineStr">
        <is>
          <t>10.2kOhm</t>
        </is>
      </c>
      <c r="B3" s="15" t="n">
        <v>8</v>
      </c>
      <c r="C3" s="15" t="inlineStr">
        <is>
          <t>10.5kOhm</t>
        </is>
      </c>
      <c r="D3" s="15" t="n">
        <v>8</v>
      </c>
      <c r="E3" s="15" t="inlineStr">
        <is>
          <t>'+2.94%</t>
        </is>
      </c>
      <c r="F3" s="15" t="inlineStr">
        <is>
          <t>±5%</t>
        </is>
      </c>
      <c r="G3" s="15" t="inlineStr">
        <is>
          <t>1% 0.0625W 0402</t>
        </is>
      </c>
      <c r="H3" s="15" t="inlineStr">
        <is>
          <t>10G212105214050, 10G212105214020, 10G212105214010, 10G212105214030</t>
        </is>
      </c>
    </row>
    <row r="4">
      <c r="A4" s="16" t="inlineStr">
        <is>
          <t>10.5kOhm</t>
        </is>
      </c>
      <c r="B4" s="16" t="n">
        <v>8</v>
      </c>
      <c r="C4" s="16" t="inlineStr">
        <is>
          <t>10.2kOhm</t>
        </is>
      </c>
      <c r="D4" s="16" t="n">
        <v>8</v>
      </c>
      <c r="E4" s="16" t="inlineStr">
        <is>
          <t>'-2.86%</t>
        </is>
      </c>
      <c r="F4" s="16" t="inlineStr">
        <is>
          <t>±5%</t>
        </is>
      </c>
      <c r="G4" s="16" t="inlineStr">
        <is>
          <t>1% 0.0625W 0402</t>
        </is>
      </c>
      <c r="H4" s="16" t="inlineStr">
        <is>
          <t>10G212102214020, 10G212102214050, 10G212102214010, 10G212102214031</t>
        </is>
      </c>
    </row>
    <row r="5">
      <c r="A5" s="15" t="inlineStr">
        <is>
          <t>10.5kOhm</t>
        </is>
      </c>
      <c r="B5" s="15" t="n">
        <v>8</v>
      </c>
      <c r="C5" s="15" t="inlineStr">
        <is>
          <t>10kOhm</t>
        </is>
      </c>
      <c r="D5" s="15" t="n">
        <v>248</v>
      </c>
      <c r="E5" s="15" t="inlineStr">
        <is>
          <t>'-4.76%</t>
        </is>
      </c>
      <c r="F5" s="15" t="inlineStr">
        <is>
          <t>±5%</t>
        </is>
      </c>
      <c r="G5" s="15" t="inlineStr">
        <is>
          <t>1% 0.0625W 0402</t>
        </is>
      </c>
      <c r="H5" s="15" t="inlineStr">
        <is>
          <t>10G212100214020, 10G212100214010, 10G212100214030, 10G212100214050</t>
        </is>
      </c>
    </row>
    <row r="6">
      <c r="A6" s="16" t="inlineStr">
        <is>
          <t>100kOhm</t>
        </is>
      </c>
      <c r="B6" s="16" t="n">
        <v>264</v>
      </c>
      <c r="C6" s="16" t="inlineStr">
        <is>
          <t>90.9kOhm</t>
        </is>
      </c>
      <c r="D6" s="16" t="n">
        <v>4</v>
      </c>
      <c r="E6" s="16" t="inlineStr">
        <is>
          <t>'-9.1%</t>
        </is>
      </c>
      <c r="F6" s="16" t="inlineStr">
        <is>
          <t>±10%</t>
        </is>
      </c>
      <c r="G6" s="16" t="inlineStr">
        <is>
          <t>1% 0.0625W 0402</t>
        </is>
      </c>
      <c r="H6" s="16" t="inlineStr">
        <is>
          <t>10G212909214050, 10G212909214010, 10G212909214020, 10G212909214030</t>
        </is>
      </c>
    </row>
    <row r="7">
      <c r="A7" s="15" t="inlineStr">
        <is>
          <t>10kOhm</t>
        </is>
      </c>
      <c r="B7" s="15" t="n">
        <v>248</v>
      </c>
      <c r="C7" s="15" t="inlineStr">
        <is>
          <t>10.2kOhm</t>
        </is>
      </c>
      <c r="D7" s="15" t="n">
        <v>8</v>
      </c>
      <c r="E7" s="15" t="inlineStr">
        <is>
          <t>'+2%</t>
        </is>
      </c>
      <c r="F7" s="15" t="inlineStr">
        <is>
          <t>±2%</t>
        </is>
      </c>
      <c r="G7" s="15" t="inlineStr">
        <is>
          <t>1% 0.0625W 0402</t>
        </is>
      </c>
      <c r="H7" s="15" t="inlineStr">
        <is>
          <t>10G212102214020, 10G212102214050, 10G212102214010, 10G212102214031</t>
        </is>
      </c>
    </row>
    <row r="8">
      <c r="A8" s="16" t="inlineStr">
        <is>
          <t>10kOhm</t>
        </is>
      </c>
      <c r="B8" s="16" t="n">
        <v>248</v>
      </c>
      <c r="C8" s="16" t="inlineStr">
        <is>
          <t>10.5kOhm</t>
        </is>
      </c>
      <c r="D8" s="16" t="n">
        <v>8</v>
      </c>
      <c r="E8" s="16" t="inlineStr">
        <is>
          <t>'+5%</t>
        </is>
      </c>
      <c r="F8" s="16" t="inlineStr">
        <is>
          <t>±5%</t>
        </is>
      </c>
      <c r="G8" s="16" t="inlineStr">
        <is>
          <t>1% 0.0625W 0402</t>
        </is>
      </c>
      <c r="H8" s="16" t="inlineStr">
        <is>
          <t>10G212105214050, 10G212105214020, 10G212105214010, 10G212105214030</t>
        </is>
      </c>
    </row>
    <row r="9">
      <c r="A9" s="15" t="inlineStr">
        <is>
          <t>11.8kOhm</t>
        </is>
      </c>
      <c r="B9" s="15" t="n">
        <v>4</v>
      </c>
      <c r="C9" s="15" t="inlineStr">
        <is>
          <t>12kOhm</t>
        </is>
      </c>
      <c r="D9" s="15" t="n">
        <v>20</v>
      </c>
      <c r="E9" s="15" t="inlineStr">
        <is>
          <t>'+1.69%</t>
        </is>
      </c>
      <c r="F9" s="15" t="inlineStr">
        <is>
          <t>±2%</t>
        </is>
      </c>
      <c r="G9" s="15" t="inlineStr">
        <is>
          <t>1% 0.0625W 0402</t>
        </is>
      </c>
      <c r="H9" s="15" t="inlineStr">
        <is>
          <t>10G212120214050, 10G212120214010, 10G212120214020, 10G212120214030</t>
        </is>
      </c>
    </row>
    <row r="10">
      <c r="A10" s="16" t="inlineStr">
        <is>
          <t>12kOhm</t>
        </is>
      </c>
      <c r="B10" s="16" t="n">
        <v>20</v>
      </c>
      <c r="C10" s="16" t="inlineStr">
        <is>
          <t>11.8kOhm</t>
        </is>
      </c>
      <c r="D10" s="16" t="n">
        <v>4</v>
      </c>
      <c r="E10" s="16" t="inlineStr">
        <is>
          <t>'-1.66%</t>
        </is>
      </c>
      <c r="F10" s="16" t="inlineStr">
        <is>
          <t>±2%</t>
        </is>
      </c>
      <c r="G10" s="16" t="inlineStr">
        <is>
          <t>1% 0.0625W 0402</t>
        </is>
      </c>
      <c r="H10" s="16" t="inlineStr">
        <is>
          <t>10G212118214050, 10G212118214010, 10G212118214030, 10G212118214020</t>
        </is>
      </c>
    </row>
    <row r="11">
      <c r="A11" s="15" t="inlineStr">
        <is>
          <t>16.2kOhm</t>
        </is>
      </c>
      <c r="B11" s="15" t="n">
        <v>4</v>
      </c>
      <c r="C11" s="15" t="inlineStr">
        <is>
          <t>16.9kOhm</t>
        </is>
      </c>
      <c r="D11" s="15" t="n">
        <v>4</v>
      </c>
      <c r="E11" s="15" t="inlineStr">
        <is>
          <t>'+4.32%</t>
        </is>
      </c>
      <c r="F11" s="15" t="inlineStr">
        <is>
          <t>±5%</t>
        </is>
      </c>
      <c r="G11" s="15" t="inlineStr">
        <is>
          <t>1% 0.0625W 0402</t>
        </is>
      </c>
      <c r="H11" s="15" t="inlineStr">
        <is>
          <t>10G212169214050, 10G212169214010, 10G212169214020, 10G212169214030</t>
        </is>
      </c>
    </row>
    <row r="12">
      <c r="A12" s="16" t="inlineStr">
        <is>
          <t>16.9kOhm</t>
        </is>
      </c>
      <c r="B12" s="16" t="n">
        <v>4</v>
      </c>
      <c r="C12" s="16" t="inlineStr">
        <is>
          <t>16.2kOhm</t>
        </is>
      </c>
      <c r="D12" s="16" t="n">
        <v>4</v>
      </c>
      <c r="E12" s="16" t="inlineStr">
        <is>
          <t>'-4.14%</t>
        </is>
      </c>
      <c r="F12" s="16" t="inlineStr">
        <is>
          <t>±5%</t>
        </is>
      </c>
      <c r="G12" s="16" t="inlineStr">
        <is>
          <t>1% 0.0625W 0402</t>
        </is>
      </c>
      <c r="H12" s="16" t="inlineStr">
        <is>
          <t>10G212162214010, 10G212162214020, 10G212162214030, 10G212162214050</t>
        </is>
      </c>
    </row>
    <row r="13">
      <c r="A13" s="15" t="inlineStr">
        <is>
          <t>18.7kOhm</t>
        </is>
      </c>
      <c r="B13" s="15" t="n">
        <v>8</v>
      </c>
      <c r="C13" s="15" t="inlineStr">
        <is>
          <t>20kOhm</t>
        </is>
      </c>
      <c r="D13" s="15" t="n">
        <v>45</v>
      </c>
      <c r="E13" s="15" t="inlineStr">
        <is>
          <t>'+6.95%</t>
        </is>
      </c>
      <c r="F13" s="15" t="inlineStr">
        <is>
          <t>±10%</t>
        </is>
      </c>
      <c r="G13" s="15" t="inlineStr">
        <is>
          <t>1% 0.0625W 0402</t>
        </is>
      </c>
      <c r="H13" s="15" t="inlineStr">
        <is>
          <t>10G212200214020, 10G212200214010, 10G212200214030, 10G212200214050, 10102-00811100</t>
        </is>
      </c>
    </row>
    <row r="14">
      <c r="A14" s="16" t="inlineStr">
        <is>
          <t>18.7kOhm</t>
        </is>
      </c>
      <c r="B14" s="16" t="n">
        <v>8</v>
      </c>
      <c r="C14" s="16" t="inlineStr">
        <is>
          <t>16.9kOhm</t>
        </is>
      </c>
      <c r="D14" s="16" t="n">
        <v>4</v>
      </c>
      <c r="E14" s="16" t="inlineStr">
        <is>
          <t>'-9.62%</t>
        </is>
      </c>
      <c r="F14" s="16" t="inlineStr">
        <is>
          <t>±10%</t>
        </is>
      </c>
      <c r="G14" s="16" t="inlineStr">
        <is>
          <t>1% 0.0625W 0402</t>
        </is>
      </c>
      <c r="H14" s="16" t="inlineStr">
        <is>
          <t>10G212169214050, 10G212169214010, 10G212169214020, 10G212169214030</t>
        </is>
      </c>
    </row>
    <row r="15">
      <c r="A15" s="15" t="inlineStr">
        <is>
          <t>18.7kOhm</t>
        </is>
      </c>
      <c r="B15" s="15" t="n">
        <v>8</v>
      </c>
      <c r="C15" s="15" t="inlineStr">
        <is>
          <t>20.5kOhm</t>
        </is>
      </c>
      <c r="D15" s="15" t="n">
        <v>4</v>
      </c>
      <c r="E15" s="15" t="inlineStr">
        <is>
          <t>'+9.63%</t>
        </is>
      </c>
      <c r="F15" s="15" t="inlineStr">
        <is>
          <t>±10%</t>
        </is>
      </c>
      <c r="G15" s="15" t="inlineStr">
        <is>
          <t>1% 0.0625W 0402</t>
        </is>
      </c>
      <c r="H15" s="15" t="inlineStr">
        <is>
          <t>10G212205214010, 10G212205214031, 10G212205214020, 10G212205214050</t>
        </is>
      </c>
    </row>
    <row r="16">
      <c r="A16" s="16" t="inlineStr">
        <is>
          <t>182Ohm</t>
        </is>
      </c>
      <c r="B16" s="16" t="n">
        <v>8</v>
      </c>
      <c r="C16" s="16" t="inlineStr">
        <is>
          <t>200Ohm</t>
        </is>
      </c>
      <c r="D16" s="16" t="n">
        <v>12</v>
      </c>
      <c r="E16" s="16" t="inlineStr">
        <is>
          <t>'+9.89%</t>
        </is>
      </c>
      <c r="F16" s="16" t="inlineStr">
        <is>
          <t>±10%</t>
        </is>
      </c>
      <c r="G16" s="16" t="inlineStr">
        <is>
          <t>1% 0.0625W 0402</t>
        </is>
      </c>
      <c r="H16" s="16" t="inlineStr">
        <is>
          <t>10G212200014010, 10G212200014020, 10G212200014050, 10G212200014030</t>
        </is>
      </c>
    </row>
    <row r="17">
      <c r="A17" s="15" t="inlineStr">
        <is>
          <t>2.2Ohm</t>
        </is>
      </c>
      <c r="B17" s="15" t="n">
        <v>40</v>
      </c>
      <c r="C17" s="15" t="inlineStr">
        <is>
          <t>2Ohm</t>
        </is>
      </c>
      <c r="D17" s="15" t="n">
        <v>8</v>
      </c>
      <c r="E17" s="15" t="inlineStr">
        <is>
          <t>'-9.09%</t>
        </is>
      </c>
      <c r="F17" s="15" t="inlineStr">
        <is>
          <t>±10%</t>
        </is>
      </c>
      <c r="G17" s="15" t="inlineStr">
        <is>
          <t>1% 0.0625W 0402</t>
        </is>
      </c>
      <c r="H17" s="15" t="inlineStr">
        <is>
          <t>10G2122R0014020, 10G2122R0014010, 10G2122R0014030, 10G2122R0014050</t>
        </is>
      </c>
    </row>
    <row r="18">
      <c r="A18" s="16" t="inlineStr">
        <is>
          <t>2.67kOhm</t>
        </is>
      </c>
      <c r="B18" s="16" t="n">
        <v>4</v>
      </c>
      <c r="C18" s="16" t="inlineStr">
        <is>
          <t>2.7kOhm</t>
        </is>
      </c>
      <c r="D18" s="16" t="n">
        <v>48</v>
      </c>
      <c r="E18" s="16" t="inlineStr">
        <is>
          <t>'+1.12%</t>
        </is>
      </c>
      <c r="F18" s="16" t="inlineStr">
        <is>
          <t>±2%</t>
        </is>
      </c>
      <c r="G18" s="16" t="inlineStr">
        <is>
          <t>1% 0.0625W 0402</t>
        </is>
      </c>
      <c r="H18" s="16" t="inlineStr">
        <is>
          <t>10G212270114010, 10G212270114030, 10G212270114020, 10G212270114050</t>
        </is>
      </c>
    </row>
    <row r="19">
      <c r="A19" s="15" t="inlineStr">
        <is>
          <t>2.67kOhm</t>
        </is>
      </c>
      <c r="B19" s="15" t="n">
        <v>4</v>
      </c>
      <c r="C19" s="15" t="inlineStr">
        <is>
          <t>2.74kOhm</t>
        </is>
      </c>
      <c r="D19" s="15" t="n">
        <v>4</v>
      </c>
      <c r="E19" s="15" t="inlineStr">
        <is>
          <t>'+2.62%</t>
        </is>
      </c>
      <c r="F19" s="15" t="inlineStr">
        <is>
          <t>±5%</t>
        </is>
      </c>
      <c r="G19" s="15" t="inlineStr">
        <is>
          <t>1% 0.0625W 0402</t>
        </is>
      </c>
      <c r="H19" s="15" t="inlineStr">
        <is>
          <t>10G212274114010, 10G212274114020, 10G212274114030, 10G212274114050</t>
        </is>
      </c>
    </row>
    <row r="20">
      <c r="A20" s="16" t="inlineStr">
        <is>
          <t>2.67kOhm</t>
        </is>
      </c>
      <c r="B20" s="16" t="n">
        <v>4</v>
      </c>
      <c r="C20" s="16" t="inlineStr">
        <is>
          <t>2.87kOhm</t>
        </is>
      </c>
      <c r="D20" s="16" t="n">
        <v>4</v>
      </c>
      <c r="E20" s="16" t="inlineStr">
        <is>
          <t>'+7.49%</t>
        </is>
      </c>
      <c r="F20" s="16" t="inlineStr">
        <is>
          <t>±10%</t>
        </is>
      </c>
      <c r="G20" s="16" t="inlineStr">
        <is>
          <t>1% 0.0625W 0402</t>
        </is>
      </c>
      <c r="H20" s="16" t="inlineStr">
        <is>
          <t>10G212287114050, 10G212287114010, 10G212287114030, 10G212287114020</t>
        </is>
      </c>
    </row>
    <row r="21">
      <c r="A21" s="15" t="inlineStr">
        <is>
          <t>2.74kOhm</t>
        </is>
      </c>
      <c r="B21" s="15" t="n">
        <v>4</v>
      </c>
      <c r="C21" s="15" t="inlineStr">
        <is>
          <t>2.7kOhm</t>
        </is>
      </c>
      <c r="D21" s="15" t="n">
        <v>48</v>
      </c>
      <c r="E21" s="15" t="inlineStr">
        <is>
          <t>'-1.46%</t>
        </is>
      </c>
      <c r="F21" s="15" t="inlineStr">
        <is>
          <t>±2%</t>
        </is>
      </c>
      <c r="G21" s="15" t="inlineStr">
        <is>
          <t>1% 0.0625W 0402</t>
        </is>
      </c>
      <c r="H21" s="15" t="inlineStr">
        <is>
          <t>10G212270114010, 10G212270114030, 10G212270114020, 10G212270114050</t>
        </is>
      </c>
    </row>
    <row r="22">
      <c r="A22" s="16" t="inlineStr">
        <is>
          <t>2.74kOhm</t>
        </is>
      </c>
      <c r="B22" s="16" t="n">
        <v>4</v>
      </c>
      <c r="C22" s="16" t="inlineStr">
        <is>
          <t>2.67kOhm</t>
        </is>
      </c>
      <c r="D22" s="16" t="n">
        <v>4</v>
      </c>
      <c r="E22" s="16" t="inlineStr">
        <is>
          <t>'-2.55%</t>
        </is>
      </c>
      <c r="F22" s="16" t="inlineStr">
        <is>
          <t>±5%</t>
        </is>
      </c>
      <c r="G22" s="16" t="inlineStr">
        <is>
          <t>1% 0.0625W 0402</t>
        </is>
      </c>
      <c r="H22" s="16" t="inlineStr">
        <is>
          <t>10G212267114050, 10G212267114030, 10G212267114010, 10G212267114020</t>
        </is>
      </c>
    </row>
    <row r="23">
      <c r="A23" s="15" t="inlineStr">
        <is>
          <t>2.74kOhm</t>
        </is>
      </c>
      <c r="B23" s="15" t="n">
        <v>4</v>
      </c>
      <c r="C23" s="15" t="inlineStr">
        <is>
          <t>2.87kOhm</t>
        </is>
      </c>
      <c r="D23" s="15" t="n">
        <v>4</v>
      </c>
      <c r="E23" s="15" t="inlineStr">
        <is>
          <t>'+4.74%</t>
        </is>
      </c>
      <c r="F23" s="15" t="inlineStr">
        <is>
          <t>±5%</t>
        </is>
      </c>
      <c r="G23" s="15" t="inlineStr">
        <is>
          <t>1% 0.0625W 0402</t>
        </is>
      </c>
      <c r="H23" s="15" t="inlineStr">
        <is>
          <t>10G212287114050, 10G212287114010, 10G212287114030, 10G212287114020</t>
        </is>
      </c>
    </row>
    <row r="24">
      <c r="A24" s="16" t="inlineStr">
        <is>
          <t>2.74kOhm</t>
        </is>
      </c>
      <c r="B24" s="16" t="n">
        <v>4</v>
      </c>
      <c r="C24" s="16" t="inlineStr">
        <is>
          <t>3.01kOhm</t>
        </is>
      </c>
      <c r="D24" s="16" t="n">
        <v>4</v>
      </c>
      <c r="E24" s="16" t="inlineStr">
        <is>
          <t>'+9.85%</t>
        </is>
      </c>
      <c r="F24" s="16" t="inlineStr">
        <is>
          <t>±10%</t>
        </is>
      </c>
      <c r="G24" s="16" t="inlineStr">
        <is>
          <t>1% 0.0625W 0402</t>
        </is>
      </c>
      <c r="H24" s="16" t="inlineStr">
        <is>
          <t>10G212301114030, 10G212301114010, 10G212301114020, 10G212301114050</t>
        </is>
      </c>
    </row>
    <row r="25">
      <c r="A25" s="15" t="inlineStr">
        <is>
          <t>2.7kOhm</t>
        </is>
      </c>
      <c r="B25" s="15" t="n">
        <v>48</v>
      </c>
      <c r="C25" s="15" t="inlineStr">
        <is>
          <t>2.67kOhm</t>
        </is>
      </c>
      <c r="D25" s="15" t="n">
        <v>4</v>
      </c>
      <c r="E25" s="15" t="inlineStr">
        <is>
          <t>'-1.11%</t>
        </is>
      </c>
      <c r="F25" s="15" t="inlineStr">
        <is>
          <t>±2%</t>
        </is>
      </c>
      <c r="G25" s="15" t="inlineStr">
        <is>
          <t>1% 0.0625W 0402</t>
        </is>
      </c>
      <c r="H25" s="15" t="inlineStr">
        <is>
          <t>10G212267114050, 10G212267114030, 10G212267114010, 10G212267114020</t>
        </is>
      </c>
    </row>
    <row r="26">
      <c r="A26" s="16" t="inlineStr">
        <is>
          <t>2.7kOhm</t>
        </is>
      </c>
      <c r="B26" s="16" t="n">
        <v>48</v>
      </c>
      <c r="C26" s="16" t="inlineStr">
        <is>
          <t>2.74kOhm</t>
        </is>
      </c>
      <c r="D26" s="16" t="n">
        <v>4</v>
      </c>
      <c r="E26" s="16" t="inlineStr">
        <is>
          <t>'+1.48%</t>
        </is>
      </c>
      <c r="F26" s="16" t="inlineStr">
        <is>
          <t>±2%</t>
        </is>
      </c>
      <c r="G26" s="16" t="inlineStr">
        <is>
          <t>1% 0.0625W 0402</t>
        </is>
      </c>
      <c r="H26" s="16" t="inlineStr">
        <is>
          <t>10G212274114010, 10G212274114020, 10G212274114030, 10G212274114050</t>
        </is>
      </c>
    </row>
    <row r="27">
      <c r="A27" s="15" t="inlineStr">
        <is>
          <t>2.7kOhm</t>
        </is>
      </c>
      <c r="B27" s="15" t="n">
        <v>48</v>
      </c>
      <c r="C27" s="15" t="inlineStr">
        <is>
          <t>2.87kOhm</t>
        </is>
      </c>
      <c r="D27" s="15" t="n">
        <v>4</v>
      </c>
      <c r="E27" s="15" t="inlineStr">
        <is>
          <t>'+6.3%</t>
        </is>
      </c>
      <c r="F27" s="15" t="inlineStr">
        <is>
          <t>±10%</t>
        </is>
      </c>
      <c r="G27" s="15" t="inlineStr">
        <is>
          <t>1% 0.0625W 0402</t>
        </is>
      </c>
      <c r="H27" s="15" t="inlineStr">
        <is>
          <t>10G212287114050, 10G212287114010, 10G212287114030, 10G212287114020</t>
        </is>
      </c>
    </row>
    <row r="28">
      <c r="A28" s="16" t="inlineStr">
        <is>
          <t>2.87kOhm</t>
        </is>
      </c>
      <c r="B28" s="16" t="n">
        <v>4</v>
      </c>
      <c r="C28" s="16" t="inlineStr">
        <is>
          <t>2.74kOhm</t>
        </is>
      </c>
      <c r="D28" s="16" t="n">
        <v>4</v>
      </c>
      <c r="E28" s="16" t="inlineStr">
        <is>
          <t>'-4.53%</t>
        </is>
      </c>
      <c r="F28" s="16" t="inlineStr">
        <is>
          <t>±5%</t>
        </is>
      </c>
      <c r="G28" s="16" t="inlineStr">
        <is>
          <t>1% 0.0625W 0402</t>
        </is>
      </c>
      <c r="H28" s="16" t="inlineStr">
        <is>
          <t>10G212274114010, 10G212274114020, 10G212274114030, 10G212274114050</t>
        </is>
      </c>
    </row>
    <row r="29">
      <c r="A29" s="15" t="inlineStr">
        <is>
          <t>2.87kOhm</t>
        </is>
      </c>
      <c r="B29" s="15" t="n">
        <v>4</v>
      </c>
      <c r="C29" s="15" t="inlineStr">
        <is>
          <t>3.01kOhm</t>
        </is>
      </c>
      <c r="D29" s="15" t="n">
        <v>4</v>
      </c>
      <c r="E29" s="15" t="inlineStr">
        <is>
          <t>'+4.88%</t>
        </is>
      </c>
      <c r="F29" s="15" t="inlineStr">
        <is>
          <t>±5%</t>
        </is>
      </c>
      <c r="G29" s="15" t="inlineStr">
        <is>
          <t>1% 0.0625W 0402</t>
        </is>
      </c>
      <c r="H29" s="15" t="inlineStr">
        <is>
          <t>10G212301114030, 10G212301114010, 10G212301114020, 10G212301114050</t>
        </is>
      </c>
    </row>
    <row r="30">
      <c r="A30" s="16" t="inlineStr">
        <is>
          <t>2.87kOhm</t>
        </is>
      </c>
      <c r="B30" s="16" t="n">
        <v>4</v>
      </c>
      <c r="C30" s="16" t="inlineStr">
        <is>
          <t>2.7kOhm</t>
        </is>
      </c>
      <c r="D30" s="16" t="n">
        <v>48</v>
      </c>
      <c r="E30" s="16" t="inlineStr">
        <is>
          <t>'-5.93%</t>
        </is>
      </c>
      <c r="F30" s="16" t="inlineStr">
        <is>
          <t>±10%</t>
        </is>
      </c>
      <c r="G30" s="16" t="inlineStr">
        <is>
          <t>1% 0.0625W 0402</t>
        </is>
      </c>
      <c r="H30" s="16" t="inlineStr">
        <is>
          <t>10G212270114010, 10G212270114030, 10G212270114020, 10G212270114050</t>
        </is>
      </c>
    </row>
    <row r="31">
      <c r="A31" s="15" t="inlineStr">
        <is>
          <t>2.87kOhm</t>
        </is>
      </c>
      <c r="B31" s="15" t="n">
        <v>4</v>
      </c>
      <c r="C31" s="15" t="inlineStr">
        <is>
          <t>2.67kOhm</t>
        </is>
      </c>
      <c r="D31" s="15" t="n">
        <v>4</v>
      </c>
      <c r="E31" s="15" t="inlineStr">
        <is>
          <t>'-6.97%</t>
        </is>
      </c>
      <c r="F31" s="15" t="inlineStr">
        <is>
          <t>±10%</t>
        </is>
      </c>
      <c r="G31" s="15" t="inlineStr">
        <is>
          <t>1% 0.0625W 0402</t>
        </is>
      </c>
      <c r="H31" s="15" t="inlineStr">
        <is>
          <t>10G212267114050, 10G212267114030, 10G212267114010, 10G212267114020</t>
        </is>
      </c>
    </row>
    <row r="32">
      <c r="A32" s="16" t="inlineStr">
        <is>
          <t>20.5kOhm</t>
        </is>
      </c>
      <c r="B32" s="16" t="n">
        <v>4</v>
      </c>
      <c r="C32" s="16" t="inlineStr">
        <is>
          <t>20kOhm</t>
        </is>
      </c>
      <c r="D32" s="16" t="n">
        <v>45</v>
      </c>
      <c r="E32" s="16" t="inlineStr">
        <is>
          <t>'-2.44%</t>
        </is>
      </c>
      <c r="F32" s="16" t="inlineStr">
        <is>
          <t>±5%</t>
        </is>
      </c>
      <c r="G32" s="16" t="inlineStr">
        <is>
          <t>1% 0.0625W 0402</t>
        </is>
      </c>
      <c r="H32" s="16" t="inlineStr">
        <is>
          <t>10G212200214020, 10G212200214010, 10G212200214030, 10G212200214050, 10102-00811100</t>
        </is>
      </c>
    </row>
    <row r="33">
      <c r="A33" s="15" t="inlineStr">
        <is>
          <t>20.5kOhm</t>
        </is>
      </c>
      <c r="B33" s="15" t="n">
        <v>4</v>
      </c>
      <c r="C33" s="15" t="inlineStr">
        <is>
          <t>22kOhm</t>
        </is>
      </c>
      <c r="D33" s="15" t="n">
        <v>8</v>
      </c>
      <c r="E33" s="15" t="inlineStr">
        <is>
          <t>'+7.32%</t>
        </is>
      </c>
      <c r="F33" s="15" t="inlineStr">
        <is>
          <t>±10%</t>
        </is>
      </c>
      <c r="G33" s="15" t="inlineStr">
        <is>
          <t>1% 0.0625W 0402</t>
        </is>
      </c>
      <c r="H33" s="15" t="inlineStr">
        <is>
          <t>10G212220214010, 10G212220214020, 10G212220214030, 10G212220214050</t>
        </is>
      </c>
    </row>
    <row r="34">
      <c r="A34" s="16" t="inlineStr">
        <is>
          <t>20.5kOhm</t>
        </is>
      </c>
      <c r="B34" s="16" t="n">
        <v>4</v>
      </c>
      <c r="C34" s="16" t="inlineStr">
        <is>
          <t>22.1kOhm</t>
        </is>
      </c>
      <c r="D34" s="16" t="n">
        <v>4</v>
      </c>
      <c r="E34" s="16" t="inlineStr">
        <is>
          <t>'+7.8%</t>
        </is>
      </c>
      <c r="F34" s="16" t="inlineStr">
        <is>
          <t>±10%</t>
        </is>
      </c>
      <c r="G34" s="16" t="inlineStr">
        <is>
          <t>1% 0.0625W 0402</t>
        </is>
      </c>
      <c r="H34" s="16" t="inlineStr">
        <is>
          <t>10G212221214010, 10G212221214030, 10G212221214050, 10G212221214020</t>
        </is>
      </c>
    </row>
    <row r="35">
      <c r="A35" s="15" t="inlineStr">
        <is>
          <t>20.5kOhm</t>
        </is>
      </c>
      <c r="B35" s="15" t="n">
        <v>4</v>
      </c>
      <c r="C35" s="15" t="inlineStr">
        <is>
          <t>18.7kOhm</t>
        </is>
      </c>
      <c r="D35" s="15" t="n">
        <v>8</v>
      </c>
      <c r="E35" s="15" t="inlineStr">
        <is>
          <t>'-8.78%</t>
        </is>
      </c>
      <c r="F35" s="15" t="inlineStr">
        <is>
          <t>±10%</t>
        </is>
      </c>
      <c r="G35" s="15" t="inlineStr">
        <is>
          <t>1% 0.0625W 0402</t>
        </is>
      </c>
      <c r="H35" s="15" t="inlineStr">
        <is>
          <t>10G212187214010, 10G212187214050, 10G212187214020, 10G212187214030</t>
        </is>
      </c>
    </row>
    <row r="36">
      <c r="A36" s="16" t="inlineStr">
        <is>
          <t>200Ohm</t>
        </is>
      </c>
      <c r="B36" s="16" t="n">
        <v>12</v>
      </c>
      <c r="C36" s="16" t="inlineStr">
        <is>
          <t>182Ohm</t>
        </is>
      </c>
      <c r="D36" s="16" t="n">
        <v>8</v>
      </c>
      <c r="E36" s="16" t="inlineStr">
        <is>
          <t>'-9%</t>
        </is>
      </c>
      <c r="F36" s="16" t="inlineStr">
        <is>
          <t>±10%</t>
        </is>
      </c>
      <c r="G36" s="16" t="inlineStr">
        <is>
          <t>1% 0.0625W 0402</t>
        </is>
      </c>
      <c r="H36" s="16" t="inlineStr">
        <is>
          <t>10G212182014020, 10G212182014030, 10G212182014010, 10G212182014050</t>
        </is>
      </c>
    </row>
    <row r="37">
      <c r="A37" s="15" t="inlineStr">
        <is>
          <t>200kOhm</t>
        </is>
      </c>
      <c r="B37" s="15" t="n">
        <v>12</v>
      </c>
      <c r="C37" s="15" t="inlineStr">
        <is>
          <t>220kOhm</t>
        </is>
      </c>
      <c r="D37" s="15" t="n">
        <v>16</v>
      </c>
      <c r="E37" s="15" t="inlineStr">
        <is>
          <t>'+10%</t>
        </is>
      </c>
      <c r="F37" s="15" t="inlineStr">
        <is>
          <t>±10%</t>
        </is>
      </c>
      <c r="G37" s="15" t="inlineStr">
        <is>
          <t>1% 0.0625W 0402</t>
        </is>
      </c>
      <c r="H37" s="15" t="inlineStr">
        <is>
          <t>10G212220314010, 10G212220314020, 10G212220314030, 10G212220314050</t>
        </is>
      </c>
    </row>
    <row r="38">
      <c r="A38" s="16" t="inlineStr">
        <is>
          <t>20kOhm</t>
        </is>
      </c>
      <c r="B38" s="16" t="n">
        <v>45</v>
      </c>
      <c r="C38" s="16" t="inlineStr">
        <is>
          <t>20.5kOhm</t>
        </is>
      </c>
      <c r="D38" s="16" t="n">
        <v>4</v>
      </c>
      <c r="E38" s="16" t="inlineStr">
        <is>
          <t>'+2.5%</t>
        </is>
      </c>
      <c r="F38" s="16" t="inlineStr">
        <is>
          <t>±5%</t>
        </is>
      </c>
      <c r="G38" s="16" t="inlineStr">
        <is>
          <t>1% 0.0625W 0402</t>
        </is>
      </c>
      <c r="H38" s="16" t="inlineStr">
        <is>
          <t>10G212205214010, 10G212205214031, 10G212205214020, 10G212205214050</t>
        </is>
      </c>
    </row>
    <row r="39">
      <c r="A39" s="15" t="inlineStr">
        <is>
          <t>20kOhm</t>
        </is>
      </c>
      <c r="B39" s="15" t="n">
        <v>45</v>
      </c>
      <c r="C39" s="15" t="inlineStr">
        <is>
          <t>18.7kOhm</t>
        </is>
      </c>
      <c r="D39" s="15" t="n">
        <v>8</v>
      </c>
      <c r="E39" s="15" t="inlineStr">
        <is>
          <t>'-6.5%</t>
        </is>
      </c>
      <c r="F39" s="15" t="inlineStr">
        <is>
          <t>±10%</t>
        </is>
      </c>
      <c r="G39" s="15" t="inlineStr">
        <is>
          <t>1% 0.0625W 0402</t>
        </is>
      </c>
      <c r="H39" s="15" t="inlineStr">
        <is>
          <t>10G212187214010, 10G212187214050, 10G212187214020, 10G212187214030</t>
        </is>
      </c>
    </row>
    <row r="40">
      <c r="A40" s="16" t="inlineStr">
        <is>
          <t>20kOhm</t>
        </is>
      </c>
      <c r="B40" s="16" t="n">
        <v>45</v>
      </c>
      <c r="C40" s="16" t="inlineStr">
        <is>
          <t>22kOhm</t>
        </is>
      </c>
      <c r="D40" s="16" t="n">
        <v>8</v>
      </c>
      <c r="E40" s="16" t="inlineStr">
        <is>
          <t>'+10%</t>
        </is>
      </c>
      <c r="F40" s="16" t="inlineStr">
        <is>
          <t>±10%</t>
        </is>
      </c>
      <c r="G40" s="16" t="inlineStr">
        <is>
          <t>1% 0.0625W 0402</t>
        </is>
      </c>
      <c r="H40" s="16" t="inlineStr">
        <is>
          <t>10G212220214010, 10G212220214020, 10G212220214030, 10G212220214050</t>
        </is>
      </c>
    </row>
    <row r="41">
      <c r="A41" s="15" t="inlineStr">
        <is>
          <t>22.1kOhm</t>
        </is>
      </c>
      <c r="B41" s="15" t="n">
        <v>4</v>
      </c>
      <c r="C41" s="15" t="inlineStr">
        <is>
          <t>22kOhm</t>
        </is>
      </c>
      <c r="D41" s="15" t="n">
        <v>8</v>
      </c>
      <c r="E41" s="15" t="inlineStr">
        <is>
          <t>'-0.45%</t>
        </is>
      </c>
      <c r="F41" s="15" t="inlineStr">
        <is>
          <t>±2%</t>
        </is>
      </c>
      <c r="G41" s="15" t="inlineStr">
        <is>
          <t>1% 0.0625W 0402</t>
        </is>
      </c>
      <c r="H41" s="15" t="inlineStr">
        <is>
          <t>10G212220214010, 10G212220214020, 10G212220214030, 10G212220214050</t>
        </is>
      </c>
    </row>
    <row r="42">
      <c r="A42" s="16" t="inlineStr">
        <is>
          <t>22.1kOhm</t>
        </is>
      </c>
      <c r="B42" s="16" t="n">
        <v>4</v>
      </c>
      <c r="C42" s="16" t="inlineStr">
        <is>
          <t>20.5kOhm</t>
        </is>
      </c>
      <c r="D42" s="16" t="n">
        <v>4</v>
      </c>
      <c r="E42" s="16" t="inlineStr">
        <is>
          <t>'-7.24%</t>
        </is>
      </c>
      <c r="F42" s="16" t="inlineStr">
        <is>
          <t>±10%</t>
        </is>
      </c>
      <c r="G42" s="16" t="inlineStr">
        <is>
          <t>1% 0.0625W 0402</t>
        </is>
      </c>
      <c r="H42" s="16" t="inlineStr">
        <is>
          <t>10G212205214010, 10G212205214031, 10G212205214020, 10G212205214050</t>
        </is>
      </c>
    </row>
    <row r="43">
      <c r="A43" s="15" t="inlineStr">
        <is>
          <t>22.1kOhm</t>
        </is>
      </c>
      <c r="B43" s="15" t="n">
        <v>4</v>
      </c>
      <c r="C43" s="15" t="inlineStr">
        <is>
          <t>23.7kOhm</t>
        </is>
      </c>
      <c r="D43" s="15" t="n">
        <v>4</v>
      </c>
      <c r="E43" s="15" t="inlineStr">
        <is>
          <t>'+7.24%</t>
        </is>
      </c>
      <c r="F43" s="15" t="inlineStr">
        <is>
          <t>±10%</t>
        </is>
      </c>
      <c r="G43" s="15" t="inlineStr">
        <is>
          <t>1% 0.0625W 0402</t>
        </is>
      </c>
      <c r="H43" s="15" t="inlineStr">
        <is>
          <t>10G212237214050, 10G212237214030, 10G212237214010, 10G212237214020</t>
        </is>
      </c>
    </row>
    <row r="44">
      <c r="A44" s="16" t="inlineStr">
        <is>
          <t>22.1kOhm</t>
        </is>
      </c>
      <c r="B44" s="16" t="n">
        <v>4</v>
      </c>
      <c r="C44" s="16" t="inlineStr">
        <is>
          <t>20kOhm</t>
        </is>
      </c>
      <c r="D44" s="16" t="n">
        <v>45</v>
      </c>
      <c r="E44" s="16" t="inlineStr">
        <is>
          <t>'-9.5%</t>
        </is>
      </c>
      <c r="F44" s="16" t="inlineStr">
        <is>
          <t>±10%</t>
        </is>
      </c>
      <c r="G44" s="16" t="inlineStr">
        <is>
          <t>1% 0.0625W 0402</t>
        </is>
      </c>
      <c r="H44" s="16" t="inlineStr">
        <is>
          <t>10G212200214020, 10G212200214010, 10G212200214030, 10G212200214050, 10102-00811100</t>
        </is>
      </c>
    </row>
    <row r="45">
      <c r="A45" s="15" t="inlineStr">
        <is>
          <t>220kOhm</t>
        </is>
      </c>
      <c r="B45" s="15" t="n">
        <v>16</v>
      </c>
      <c r="C45" s="15" t="inlineStr">
        <is>
          <t>200kOhm</t>
        </is>
      </c>
      <c r="D45" s="15" t="n">
        <v>12</v>
      </c>
      <c r="E45" s="15" t="inlineStr">
        <is>
          <t>'-9.09%</t>
        </is>
      </c>
      <c r="F45" s="15" t="inlineStr">
        <is>
          <t>±10%</t>
        </is>
      </c>
      <c r="G45" s="15" t="inlineStr">
        <is>
          <t>1% 0.0625W 0402</t>
        </is>
      </c>
      <c r="H45" s="15" t="inlineStr">
        <is>
          <t>10G212200314020, 10G212200314010, 10G212200314050, 10G212200314030</t>
        </is>
      </c>
    </row>
    <row r="46">
      <c r="A46" s="16" t="inlineStr">
        <is>
          <t>22kOhm</t>
        </is>
      </c>
      <c r="B46" s="16" t="n">
        <v>8</v>
      </c>
      <c r="C46" s="16" t="inlineStr">
        <is>
          <t>22.1kOhm</t>
        </is>
      </c>
      <c r="D46" s="16" t="n">
        <v>4</v>
      </c>
      <c r="E46" s="16" t="inlineStr">
        <is>
          <t>'+0.45%</t>
        </is>
      </c>
      <c r="F46" s="16" t="inlineStr">
        <is>
          <t>±2%</t>
        </is>
      </c>
      <c r="G46" s="16" t="inlineStr">
        <is>
          <t>1% 0.0625W 0402</t>
        </is>
      </c>
      <c r="H46" s="16" t="inlineStr">
        <is>
          <t>10G212221214010, 10G212221214030, 10G212221214050, 10G212221214020</t>
        </is>
      </c>
    </row>
    <row r="47">
      <c r="A47" s="15" t="inlineStr">
        <is>
          <t>22kOhm</t>
        </is>
      </c>
      <c r="B47" s="15" t="n">
        <v>8</v>
      </c>
      <c r="C47" s="15" t="inlineStr">
        <is>
          <t>20.5kOhm</t>
        </is>
      </c>
      <c r="D47" s="15" t="n">
        <v>4</v>
      </c>
      <c r="E47" s="15" t="inlineStr">
        <is>
          <t>'-6.82%</t>
        </is>
      </c>
      <c r="F47" s="15" t="inlineStr">
        <is>
          <t>±10%</t>
        </is>
      </c>
      <c r="G47" s="15" t="inlineStr">
        <is>
          <t>1% 0.0625W 0402</t>
        </is>
      </c>
      <c r="H47" s="15" t="inlineStr">
        <is>
          <t>10G212205214010, 10G212205214031, 10G212205214020, 10G212205214050</t>
        </is>
      </c>
    </row>
    <row r="48">
      <c r="A48" s="16" t="inlineStr">
        <is>
          <t>22kOhm</t>
        </is>
      </c>
      <c r="B48" s="16" t="n">
        <v>8</v>
      </c>
      <c r="C48" s="16" t="inlineStr">
        <is>
          <t>23.7kOhm</t>
        </is>
      </c>
      <c r="D48" s="16" t="n">
        <v>4</v>
      </c>
      <c r="E48" s="16" t="inlineStr">
        <is>
          <t>'+7.73%</t>
        </is>
      </c>
      <c r="F48" s="16" t="inlineStr">
        <is>
          <t>±10%</t>
        </is>
      </c>
      <c r="G48" s="16" t="inlineStr">
        <is>
          <t>1% 0.0625W 0402</t>
        </is>
      </c>
      <c r="H48" s="16" t="inlineStr">
        <is>
          <t>10G212237214050, 10G212237214030, 10G212237214010, 10G212237214020</t>
        </is>
      </c>
    </row>
    <row r="49">
      <c r="A49" s="15" t="inlineStr">
        <is>
          <t>22kOhm</t>
        </is>
      </c>
      <c r="B49" s="15" t="n">
        <v>8</v>
      </c>
      <c r="C49" s="15" t="inlineStr">
        <is>
          <t>20kOhm</t>
        </is>
      </c>
      <c r="D49" s="15" t="n">
        <v>45</v>
      </c>
      <c r="E49" s="15" t="inlineStr">
        <is>
          <t>'-9.09%</t>
        </is>
      </c>
      <c r="F49" s="15" t="inlineStr">
        <is>
          <t>±10%</t>
        </is>
      </c>
      <c r="G49" s="15" t="inlineStr">
        <is>
          <t>1% 0.0625W 0402</t>
        </is>
      </c>
      <c r="H49" s="15" t="inlineStr">
        <is>
          <t>10G212200214020, 10G212200214010, 10G212200214030, 10G212200214050, 10102-00811100</t>
        </is>
      </c>
    </row>
    <row r="50">
      <c r="A50" s="16" t="inlineStr">
        <is>
          <t>23.7kOhm</t>
        </is>
      </c>
      <c r="B50" s="16" t="n">
        <v>4</v>
      </c>
      <c r="C50" s="16" t="inlineStr">
        <is>
          <t>22.1kOhm</t>
        </is>
      </c>
      <c r="D50" s="16" t="n">
        <v>4</v>
      </c>
      <c r="E50" s="16" t="inlineStr">
        <is>
          <t>'-6.75%</t>
        </is>
      </c>
      <c r="F50" s="16" t="inlineStr">
        <is>
          <t>±10%</t>
        </is>
      </c>
      <c r="G50" s="16" t="inlineStr">
        <is>
          <t>1% 0.0625W 0402</t>
        </is>
      </c>
      <c r="H50" s="16" t="inlineStr">
        <is>
          <t>10G212221214010, 10G212221214030, 10G212221214050, 10G212221214020</t>
        </is>
      </c>
    </row>
    <row r="51">
      <c r="A51" s="15" t="inlineStr">
        <is>
          <t>23.7kOhm</t>
        </is>
      </c>
      <c r="B51" s="15" t="n">
        <v>4</v>
      </c>
      <c r="C51" s="15" t="inlineStr">
        <is>
          <t>22kOhm</t>
        </is>
      </c>
      <c r="D51" s="15" t="n">
        <v>8</v>
      </c>
      <c r="E51" s="15" t="inlineStr">
        <is>
          <t>'-7.18%</t>
        </is>
      </c>
      <c r="F51" s="15" t="inlineStr">
        <is>
          <t>±10%</t>
        </is>
      </c>
      <c r="G51" s="15" t="inlineStr">
        <is>
          <t>1% 0.0625W 0402</t>
        </is>
      </c>
      <c r="H51" s="15" t="inlineStr">
        <is>
          <t>10G212220214010, 10G212220214020, 10G212220214030, 10G212220214050</t>
        </is>
      </c>
    </row>
    <row r="52">
      <c r="A52" s="16" t="inlineStr">
        <is>
          <t>23.7kOhm</t>
        </is>
      </c>
      <c r="B52" s="16" t="n">
        <v>4</v>
      </c>
      <c r="C52" s="16" t="inlineStr">
        <is>
          <t>25.5kOhm</t>
        </is>
      </c>
      <c r="D52" s="16" t="n">
        <v>8</v>
      </c>
      <c r="E52" s="16" t="inlineStr">
        <is>
          <t>'+7.59%</t>
        </is>
      </c>
      <c r="F52" s="16" t="inlineStr">
        <is>
          <t>±10%</t>
        </is>
      </c>
      <c r="G52" s="16" t="inlineStr">
        <is>
          <t>1% 0.0625W 0402</t>
        </is>
      </c>
      <c r="H52" s="16" t="inlineStr">
        <is>
          <t>10G212255214010, 10G212255214050, 10G212255214020, 10G212255214031</t>
        </is>
      </c>
    </row>
    <row r="53">
      <c r="A53" s="15" t="inlineStr">
        <is>
          <t>25.5kOhm</t>
        </is>
      </c>
      <c r="B53" s="15" t="n">
        <v>8</v>
      </c>
      <c r="C53" s="15" t="inlineStr">
        <is>
          <t>27kOhm</t>
        </is>
      </c>
      <c r="D53" s="15" t="n">
        <v>4</v>
      </c>
      <c r="E53" s="15" t="inlineStr">
        <is>
          <t>'+5.88%</t>
        </is>
      </c>
      <c r="F53" s="15" t="inlineStr">
        <is>
          <t>±10%</t>
        </is>
      </c>
      <c r="G53" s="15" t="inlineStr">
        <is>
          <t>1% 0.0625W 0402</t>
        </is>
      </c>
      <c r="H53" s="15" t="inlineStr">
        <is>
          <t>10G212270214030, 10G212270214050, 10G212270214010, 10G212270214020</t>
        </is>
      </c>
    </row>
    <row r="54">
      <c r="A54" s="16" t="inlineStr">
        <is>
          <t>25.5kOhm</t>
        </is>
      </c>
      <c r="B54" s="16" t="n">
        <v>8</v>
      </c>
      <c r="C54" s="16" t="inlineStr">
        <is>
          <t>23.7kOhm</t>
        </is>
      </c>
      <c r="D54" s="16" t="n">
        <v>4</v>
      </c>
      <c r="E54" s="16" t="inlineStr">
        <is>
          <t>'-7.05%</t>
        </is>
      </c>
      <c r="F54" s="16" t="inlineStr">
        <is>
          <t>±10%</t>
        </is>
      </c>
      <c r="G54" s="16" t="inlineStr">
        <is>
          <t>1% 0.0625W 0402</t>
        </is>
      </c>
      <c r="H54" s="16" t="inlineStr">
        <is>
          <t>10G212237214050, 10G212237214030, 10G212237214010, 10G212237214020</t>
        </is>
      </c>
    </row>
    <row r="55">
      <c r="A55" s="15" t="inlineStr">
        <is>
          <t>27kOhm</t>
        </is>
      </c>
      <c r="B55" s="15" t="n">
        <v>4</v>
      </c>
      <c r="C55" s="15" t="inlineStr">
        <is>
          <t>25.5kOhm</t>
        </is>
      </c>
      <c r="D55" s="15" t="n">
        <v>8</v>
      </c>
      <c r="E55" s="15" t="inlineStr">
        <is>
          <t>'-5.55%</t>
        </is>
      </c>
      <c r="F55" s="15" t="inlineStr">
        <is>
          <t>±10%</t>
        </is>
      </c>
      <c r="G55" s="15" t="inlineStr">
        <is>
          <t>1% 0.0625W 0402</t>
        </is>
      </c>
      <c r="H55" s="15" t="inlineStr">
        <is>
          <t>10G212255214010, 10G212255214050, 10G212255214020, 10G212255214031</t>
        </is>
      </c>
    </row>
    <row r="56">
      <c r="A56" s="16" t="inlineStr">
        <is>
          <t>2Ohm</t>
        </is>
      </c>
      <c r="B56" s="16" t="n">
        <v>8</v>
      </c>
      <c r="C56" s="16" t="inlineStr">
        <is>
          <t>2.2Ohm</t>
        </is>
      </c>
      <c r="D56" s="16" t="n">
        <v>40</v>
      </c>
      <c r="E56" s="16" t="inlineStr">
        <is>
          <t>'+10%</t>
        </is>
      </c>
      <c r="F56" s="16" t="inlineStr">
        <is>
          <t>±10%</t>
        </is>
      </c>
      <c r="G56" s="16" t="inlineStr">
        <is>
          <t>1% 0.0625W 0402</t>
        </is>
      </c>
      <c r="H56" s="16" t="inlineStr">
        <is>
          <t>10G2122R2014031, 10G2122R2014010, 10G2122R2014020, 10G2122R2014050</t>
        </is>
      </c>
    </row>
    <row r="57">
      <c r="A57" s="15" t="inlineStr">
        <is>
          <t>3.01kOhm</t>
        </is>
      </c>
      <c r="B57" s="15" t="n">
        <v>4</v>
      </c>
      <c r="C57" s="15" t="inlineStr">
        <is>
          <t>2.87kOhm</t>
        </is>
      </c>
      <c r="D57" s="15" t="n">
        <v>4</v>
      </c>
      <c r="E57" s="15" t="inlineStr">
        <is>
          <t>'-4.65%</t>
        </is>
      </c>
      <c r="F57" s="15" t="inlineStr">
        <is>
          <t>±5%</t>
        </is>
      </c>
      <c r="G57" s="15" t="inlineStr">
        <is>
          <t>1% 0.0625W 0402</t>
        </is>
      </c>
      <c r="H57" s="15" t="inlineStr">
        <is>
          <t>10G212287114050, 10G212287114010, 10G212287114030, 10G212287114020</t>
        </is>
      </c>
    </row>
    <row r="58">
      <c r="A58" s="16" t="inlineStr">
        <is>
          <t>3.01kOhm</t>
        </is>
      </c>
      <c r="B58" s="16" t="n">
        <v>4</v>
      </c>
      <c r="C58" s="16" t="inlineStr">
        <is>
          <t>3.24kOhm</t>
        </is>
      </c>
      <c r="D58" s="16" t="n">
        <v>4</v>
      </c>
      <c r="E58" s="16" t="inlineStr">
        <is>
          <t>'+7.64%</t>
        </is>
      </c>
      <c r="F58" s="16" t="inlineStr">
        <is>
          <t>±10%</t>
        </is>
      </c>
      <c r="G58" s="16" t="inlineStr">
        <is>
          <t>1% 0.0625W 0402</t>
        </is>
      </c>
      <c r="H58" s="16" t="inlineStr">
        <is>
          <t>10G212324114020, 10G212324114030, 10G212324114010, 10G212324114050</t>
        </is>
      </c>
    </row>
    <row r="59">
      <c r="A59" s="15" t="inlineStr">
        <is>
          <t>3.01kOhm</t>
        </is>
      </c>
      <c r="B59" s="15" t="n">
        <v>4</v>
      </c>
      <c r="C59" s="15" t="inlineStr">
        <is>
          <t>2.74kOhm</t>
        </is>
      </c>
      <c r="D59" s="15" t="n">
        <v>4</v>
      </c>
      <c r="E59" s="15" t="inlineStr">
        <is>
          <t>'-8.97%</t>
        </is>
      </c>
      <c r="F59" s="15" t="inlineStr">
        <is>
          <t>±10%</t>
        </is>
      </c>
      <c r="G59" s="15" t="inlineStr">
        <is>
          <t>1% 0.0625W 0402</t>
        </is>
      </c>
      <c r="H59" s="15" t="inlineStr">
        <is>
          <t>10G212274114010, 10G212274114020, 10G212274114030, 10G212274114050</t>
        </is>
      </c>
    </row>
    <row r="60">
      <c r="A60" s="16" t="inlineStr">
        <is>
          <t>3.24kOhm</t>
        </is>
      </c>
      <c r="B60" s="16" t="n">
        <v>4</v>
      </c>
      <c r="C60" s="16" t="inlineStr">
        <is>
          <t>3.01kOhm</t>
        </is>
      </c>
      <c r="D60" s="16" t="n">
        <v>4</v>
      </c>
      <c r="E60" s="16" t="inlineStr">
        <is>
          <t>'-7.1%</t>
        </is>
      </c>
      <c r="F60" s="16" t="inlineStr">
        <is>
          <t>±10%</t>
        </is>
      </c>
      <c r="G60" s="16" t="inlineStr">
        <is>
          <t>1% 0.0625W 0402</t>
        </is>
      </c>
      <c r="H60" s="16" t="inlineStr">
        <is>
          <t>10G212301114030, 10G212301114010, 10G212301114020, 10G212301114050</t>
        </is>
      </c>
    </row>
    <row r="61">
      <c r="A61" s="15" t="inlineStr">
        <is>
          <t>30.9kOhm</t>
        </is>
      </c>
      <c r="B61" s="15" t="n">
        <v>4</v>
      </c>
      <c r="C61" s="15" t="inlineStr">
        <is>
          <t>30kOhm</t>
        </is>
      </c>
      <c r="D61" s="15" t="n">
        <v>4</v>
      </c>
      <c r="E61" s="15" t="inlineStr">
        <is>
          <t>'-2.91%</t>
        </is>
      </c>
      <c r="F61" s="15" t="inlineStr">
        <is>
          <t>±5%</t>
        </is>
      </c>
      <c r="G61" s="15" t="inlineStr">
        <is>
          <t>1% 0.0625W 0402</t>
        </is>
      </c>
      <c r="H61" s="15" t="inlineStr">
        <is>
          <t>10G212300214020, 10G212300214010, 10G212300214030, 10G212300214050</t>
        </is>
      </c>
    </row>
    <row r="62">
      <c r="A62" s="16" t="inlineStr">
        <is>
          <t>30kOhm</t>
        </is>
      </c>
      <c r="B62" s="16" t="n">
        <v>4</v>
      </c>
      <c r="C62" s="16" t="inlineStr">
        <is>
          <t>30.9kOhm</t>
        </is>
      </c>
      <c r="D62" s="16" t="n">
        <v>4</v>
      </c>
      <c r="E62" s="16" t="inlineStr">
        <is>
          <t>'+3%</t>
        </is>
      </c>
      <c r="F62" s="16" t="inlineStr">
        <is>
          <t>±5%</t>
        </is>
      </c>
      <c r="G62" s="16" t="inlineStr">
        <is>
          <t>1% 0.0625W 0402</t>
        </is>
      </c>
      <c r="H62" s="16" t="inlineStr">
        <is>
          <t>10G212309214010, 10G212309214020, 10G212309214031, 10G212309214050</t>
        </is>
      </c>
    </row>
    <row r="63">
      <c r="A63" s="15" t="inlineStr">
        <is>
          <t>30kOhm</t>
        </is>
      </c>
      <c r="B63" s="15" t="n">
        <v>4</v>
      </c>
      <c r="C63" s="15" t="inlineStr">
        <is>
          <t>27kOhm</t>
        </is>
      </c>
      <c r="D63" s="15" t="n">
        <v>4</v>
      </c>
      <c r="E63" s="15" t="inlineStr">
        <is>
          <t>'-10%</t>
        </is>
      </c>
      <c r="F63" s="15" t="inlineStr">
        <is>
          <t>±10%</t>
        </is>
      </c>
      <c r="G63" s="15" t="inlineStr">
        <is>
          <t>1% 0.0625W 0402</t>
        </is>
      </c>
      <c r="H63" s="15" t="inlineStr">
        <is>
          <t>10G212270214030, 10G212270214050, 10G212270214010, 10G212270214020</t>
        </is>
      </c>
    </row>
    <row r="64">
      <c r="A64" s="16" t="inlineStr">
        <is>
          <t>35.7kOhm</t>
        </is>
      </c>
      <c r="B64" s="16" t="n">
        <v>4</v>
      </c>
      <c r="C64" s="16" t="inlineStr">
        <is>
          <t>39.2kOhm</t>
        </is>
      </c>
      <c r="D64" s="16" t="n">
        <v>4</v>
      </c>
      <c r="E64" s="16" t="inlineStr">
        <is>
          <t>'+9.8%</t>
        </is>
      </c>
      <c r="F64" s="16" t="inlineStr">
        <is>
          <t>±10%</t>
        </is>
      </c>
      <c r="G64" s="16" t="inlineStr">
        <is>
          <t>1% 0.0625W 0402</t>
        </is>
      </c>
      <c r="H64" s="16" t="inlineStr">
        <is>
          <t>10G212392214050, 10G212392214020, 10G212392214010, 10G212392214031</t>
        </is>
      </c>
    </row>
    <row r="65">
      <c r="A65" s="15" t="inlineStr">
        <is>
          <t>39.2kOhm</t>
        </is>
      </c>
      <c r="B65" s="15" t="n">
        <v>4</v>
      </c>
      <c r="C65" s="15" t="inlineStr">
        <is>
          <t>40.2kOhm</t>
        </is>
      </c>
      <c r="D65" s="15" t="n">
        <v>8</v>
      </c>
      <c r="E65" s="15" t="inlineStr">
        <is>
          <t>'+2.55%</t>
        </is>
      </c>
      <c r="F65" s="15" t="inlineStr">
        <is>
          <t>±5%</t>
        </is>
      </c>
      <c r="G65" s="15" t="inlineStr">
        <is>
          <t>1% 0.0625W 0402</t>
        </is>
      </c>
      <c r="H65" s="15" t="inlineStr">
        <is>
          <t>10G212402214020, 10G212402214010, 10G212402214030, 10G212402214050</t>
        </is>
      </c>
    </row>
    <row r="66">
      <c r="A66" s="16" t="inlineStr">
        <is>
          <t>39.2kOhm</t>
        </is>
      </c>
      <c r="B66" s="16" t="n">
        <v>4</v>
      </c>
      <c r="C66" s="16" t="inlineStr">
        <is>
          <t>41.2kOhm</t>
        </is>
      </c>
      <c r="D66" s="16" t="n">
        <v>8</v>
      </c>
      <c r="E66" s="16" t="inlineStr">
        <is>
          <t>'+5.1%</t>
        </is>
      </c>
      <c r="F66" s="16" t="inlineStr">
        <is>
          <t>±10%</t>
        </is>
      </c>
      <c r="G66" s="16" t="inlineStr">
        <is>
          <t>1% 0.0625W 0402</t>
        </is>
      </c>
      <c r="H66" s="16" t="inlineStr">
        <is>
          <t>10G212412214010, 10G212412214050, 10G212412214020, 10G212412214030</t>
        </is>
      </c>
    </row>
    <row r="67">
      <c r="A67" s="15" t="inlineStr">
        <is>
          <t>39.2kOhm</t>
        </is>
      </c>
      <c r="B67" s="15" t="n">
        <v>4</v>
      </c>
      <c r="C67" s="15" t="inlineStr">
        <is>
          <t>35.7kOhm</t>
        </is>
      </c>
      <c r="D67" s="15" t="n">
        <v>4</v>
      </c>
      <c r="E67" s="15" t="inlineStr">
        <is>
          <t>'-8.93%</t>
        </is>
      </c>
      <c r="F67" s="15" t="inlineStr">
        <is>
          <t>±10%</t>
        </is>
      </c>
      <c r="G67" s="15" t="inlineStr">
        <is>
          <t>1% 0.0625W 0402</t>
        </is>
      </c>
      <c r="H67" s="15" t="inlineStr">
        <is>
          <t>10G212357214030, 10G212357214050, 10G212357214010, 10G212357214020</t>
        </is>
      </c>
    </row>
    <row r="68">
      <c r="A68" s="16" t="inlineStr">
        <is>
          <t>4.7kOhm</t>
        </is>
      </c>
      <c r="B68" s="16" t="n">
        <v>72</v>
      </c>
      <c r="C68" s="16" t="inlineStr">
        <is>
          <t>4.99kOhm</t>
        </is>
      </c>
      <c r="D68" s="16" t="n">
        <v>4</v>
      </c>
      <c r="E68" s="16" t="inlineStr">
        <is>
          <t>'+6.17%</t>
        </is>
      </c>
      <c r="F68" s="16" t="inlineStr">
        <is>
          <t>±10%</t>
        </is>
      </c>
      <c r="G68" s="16" t="inlineStr">
        <is>
          <t>1% 0.0625W 0402</t>
        </is>
      </c>
      <c r="H68" s="16" t="inlineStr">
        <is>
          <t>10G212499114020, 10G212499114010, 10G212499114030, 10G212499114050</t>
        </is>
      </c>
    </row>
    <row r="69">
      <c r="A69" s="15" t="inlineStr">
        <is>
          <t>4.99kOhm</t>
        </is>
      </c>
      <c r="B69" s="15" t="n">
        <v>4</v>
      </c>
      <c r="C69" s="15" t="inlineStr">
        <is>
          <t>4.7kOhm</t>
        </is>
      </c>
      <c r="D69" s="15" t="n">
        <v>72</v>
      </c>
      <c r="E69" s="15" t="inlineStr">
        <is>
          <t>'-5.81%</t>
        </is>
      </c>
      <c r="F69" s="15" t="inlineStr">
        <is>
          <t>±10%</t>
        </is>
      </c>
      <c r="G69" s="15" t="inlineStr">
        <is>
          <t>1% 0.0625W 0402</t>
        </is>
      </c>
      <c r="H69" s="15" t="inlineStr">
        <is>
          <t>10G212470114020, 10G212470114010, 10G212470114050, 10G212470114030</t>
        </is>
      </c>
    </row>
    <row r="70">
      <c r="A70" s="16" t="inlineStr">
        <is>
          <t>40.2kOhm</t>
        </is>
      </c>
      <c r="B70" s="16" t="n">
        <v>8</v>
      </c>
      <c r="C70" s="16" t="inlineStr">
        <is>
          <t>41.2kOhm</t>
        </is>
      </c>
      <c r="D70" s="16" t="n">
        <v>8</v>
      </c>
      <c r="E70" s="16" t="inlineStr">
        <is>
          <t>'+2.49%</t>
        </is>
      </c>
      <c r="F70" s="16" t="inlineStr">
        <is>
          <t>±5%</t>
        </is>
      </c>
      <c r="G70" s="16" t="inlineStr">
        <is>
          <t>1% 0.0625W 0402</t>
        </is>
      </c>
      <c r="H70" s="16" t="inlineStr">
        <is>
          <t>10G212412214010, 10G212412214050, 10G212412214020, 10G212412214030</t>
        </is>
      </c>
    </row>
    <row r="71">
      <c r="A71" s="15" t="inlineStr">
        <is>
          <t>40.2kOhm</t>
        </is>
      </c>
      <c r="B71" s="15" t="n">
        <v>8</v>
      </c>
      <c r="C71" s="15" t="inlineStr">
        <is>
          <t>39.2kOhm</t>
        </is>
      </c>
      <c r="D71" s="15" t="n">
        <v>4</v>
      </c>
      <c r="E71" s="15" t="inlineStr">
        <is>
          <t>'-2.49%</t>
        </is>
      </c>
      <c r="F71" s="15" t="inlineStr">
        <is>
          <t>±5%</t>
        </is>
      </c>
      <c r="G71" s="15" t="inlineStr">
        <is>
          <t>1% 0.0625W 0402</t>
        </is>
      </c>
      <c r="H71" s="15" t="inlineStr">
        <is>
          <t>10G212392214050, 10G212392214020, 10G212392214010, 10G212392214031</t>
        </is>
      </c>
    </row>
    <row r="72">
      <c r="A72" s="16" t="inlineStr">
        <is>
          <t>40.2kOhm</t>
        </is>
      </c>
      <c r="B72" s="16" t="n">
        <v>8</v>
      </c>
      <c r="C72" s="16" t="inlineStr">
        <is>
          <t>43.2kOhm</t>
        </is>
      </c>
      <c r="D72" s="16" t="n">
        <v>4</v>
      </c>
      <c r="E72" s="16" t="inlineStr">
        <is>
          <t>'+7.46%</t>
        </is>
      </c>
      <c r="F72" s="16" t="inlineStr">
        <is>
          <t>±10%</t>
        </is>
      </c>
      <c r="G72" s="16" t="inlineStr">
        <is>
          <t>1% 0.0625W 0402</t>
        </is>
      </c>
      <c r="H72" s="16" t="inlineStr">
        <is>
          <t>10G212432214020, 10G212432214010, 10G212432214030, 10G212432214050</t>
        </is>
      </c>
    </row>
    <row r="73">
      <c r="A73" s="15" t="inlineStr">
        <is>
          <t>41.2kOhm</t>
        </is>
      </c>
      <c r="B73" s="15" t="n">
        <v>8</v>
      </c>
      <c r="C73" s="15" t="inlineStr">
        <is>
          <t>40.2kOhm</t>
        </is>
      </c>
      <c r="D73" s="15" t="n">
        <v>8</v>
      </c>
      <c r="E73" s="15" t="inlineStr">
        <is>
          <t>'-2.43%</t>
        </is>
      </c>
      <c r="F73" s="15" t="inlineStr">
        <is>
          <t>±5%</t>
        </is>
      </c>
      <c r="G73" s="15" t="inlineStr">
        <is>
          <t>1% 0.0625W 0402</t>
        </is>
      </c>
      <c r="H73" s="15" t="inlineStr">
        <is>
          <t>10G212402214020, 10G212402214010, 10G212402214030, 10G212402214050</t>
        </is>
      </c>
    </row>
    <row r="74">
      <c r="A74" s="16" t="inlineStr">
        <is>
          <t>41.2kOhm</t>
        </is>
      </c>
      <c r="B74" s="16" t="n">
        <v>8</v>
      </c>
      <c r="C74" s="16" t="inlineStr">
        <is>
          <t>39.2kOhm</t>
        </is>
      </c>
      <c r="D74" s="16" t="n">
        <v>4</v>
      </c>
      <c r="E74" s="16" t="inlineStr">
        <is>
          <t>'-4.85%</t>
        </is>
      </c>
      <c r="F74" s="16" t="inlineStr">
        <is>
          <t>±5%</t>
        </is>
      </c>
      <c r="G74" s="16" t="inlineStr">
        <is>
          <t>1% 0.0625W 0402</t>
        </is>
      </c>
      <c r="H74" s="16" t="inlineStr">
        <is>
          <t>10G212392214050, 10G212392214020, 10G212392214010, 10G212392214031</t>
        </is>
      </c>
    </row>
    <row r="75">
      <c r="A75" s="15" t="inlineStr">
        <is>
          <t>41.2kOhm</t>
        </is>
      </c>
      <c r="B75" s="15" t="n">
        <v>8</v>
      </c>
      <c r="C75" s="15" t="inlineStr">
        <is>
          <t>43.2kOhm</t>
        </is>
      </c>
      <c r="D75" s="15" t="n">
        <v>4</v>
      </c>
      <c r="E75" s="15" t="inlineStr">
        <is>
          <t>'+4.85%</t>
        </is>
      </c>
      <c r="F75" s="15" t="inlineStr">
        <is>
          <t>±5%</t>
        </is>
      </c>
      <c r="G75" s="15" t="inlineStr">
        <is>
          <t>1% 0.0625W 0402</t>
        </is>
      </c>
      <c r="H75" s="15" t="inlineStr">
        <is>
          <t>10G212432214020, 10G212432214010, 10G212432214030, 10G212432214050</t>
        </is>
      </c>
    </row>
    <row r="76">
      <c r="A76" s="16" t="inlineStr">
        <is>
          <t>43.2kOhm</t>
        </is>
      </c>
      <c r="B76" s="16" t="n">
        <v>4</v>
      </c>
      <c r="C76" s="16" t="inlineStr">
        <is>
          <t>41.2kOhm</t>
        </is>
      </c>
      <c r="D76" s="16" t="n">
        <v>8</v>
      </c>
      <c r="E76" s="16" t="inlineStr">
        <is>
          <t>'-4.63%</t>
        </is>
      </c>
      <c r="F76" s="16" t="inlineStr">
        <is>
          <t>±5%</t>
        </is>
      </c>
      <c r="G76" s="16" t="inlineStr">
        <is>
          <t>1% 0.0625W 0402</t>
        </is>
      </c>
      <c r="H76" s="16" t="inlineStr">
        <is>
          <t>10G212412214010, 10G212412214050, 10G212412214020, 10G212412214030</t>
        </is>
      </c>
    </row>
    <row r="77">
      <c r="A77" s="15" t="inlineStr">
        <is>
          <t>43.2kOhm</t>
        </is>
      </c>
      <c r="B77" s="15" t="n">
        <v>4</v>
      </c>
      <c r="C77" s="15" t="inlineStr">
        <is>
          <t>40.2kOhm</t>
        </is>
      </c>
      <c r="D77" s="15" t="n">
        <v>8</v>
      </c>
      <c r="E77" s="15" t="inlineStr">
        <is>
          <t>'-6.94%</t>
        </is>
      </c>
      <c r="F77" s="15" t="inlineStr">
        <is>
          <t>±10%</t>
        </is>
      </c>
      <c r="G77" s="15" t="inlineStr">
        <is>
          <t>1% 0.0625W 0402</t>
        </is>
      </c>
      <c r="H77" s="15" t="inlineStr">
        <is>
          <t>10G212402214020, 10G212402214010, 10G212402214030, 10G212402214050</t>
        </is>
      </c>
    </row>
    <row r="78">
      <c r="A78" s="16" t="inlineStr">
        <is>
          <t>43.2kOhm</t>
        </is>
      </c>
      <c r="B78" s="16" t="n">
        <v>4</v>
      </c>
      <c r="C78" s="16" t="inlineStr">
        <is>
          <t>47kOhm</t>
        </is>
      </c>
      <c r="D78" s="16" t="n">
        <v>4</v>
      </c>
      <c r="E78" s="16" t="inlineStr">
        <is>
          <t>'+8.8%</t>
        </is>
      </c>
      <c r="F78" s="16" t="inlineStr">
        <is>
          <t>±10%</t>
        </is>
      </c>
      <c r="G78" s="16" t="inlineStr">
        <is>
          <t>1% 0.0625W 0402</t>
        </is>
      </c>
      <c r="H78" s="16" t="inlineStr">
        <is>
          <t>10G212470214010, 10G212470214030, 10G212470214020, 10G212470214050</t>
        </is>
      </c>
    </row>
    <row r="79">
      <c r="A79" s="15" t="inlineStr">
        <is>
          <t>43.2kOhm</t>
        </is>
      </c>
      <c r="B79" s="15" t="n">
        <v>4</v>
      </c>
      <c r="C79" s="15" t="inlineStr">
        <is>
          <t>39.2kOhm</t>
        </is>
      </c>
      <c r="D79" s="15" t="n">
        <v>4</v>
      </c>
      <c r="E79" s="15" t="inlineStr">
        <is>
          <t>'-9.26%</t>
        </is>
      </c>
      <c r="F79" s="15" t="inlineStr">
        <is>
          <t>±10%</t>
        </is>
      </c>
      <c r="G79" s="15" t="inlineStr">
        <is>
          <t>1% 0.0625W 0402</t>
        </is>
      </c>
      <c r="H79" s="15" t="inlineStr">
        <is>
          <t>10G212392214050, 10G212392214020, 10G212392214010, 10G212392214031</t>
        </is>
      </c>
    </row>
    <row r="80">
      <c r="A80" s="16" t="inlineStr">
        <is>
          <t>470Ohm</t>
        </is>
      </c>
      <c r="B80" s="16" t="n">
        <v>4</v>
      </c>
      <c r="C80" s="16" t="inlineStr">
        <is>
          <t>499Ohm</t>
        </is>
      </c>
      <c r="D80" s="16" t="n">
        <v>4</v>
      </c>
      <c r="E80" s="16" t="inlineStr">
        <is>
          <t>'+6.17%</t>
        </is>
      </c>
      <c r="F80" s="16" t="inlineStr">
        <is>
          <t>±10%</t>
        </is>
      </c>
      <c r="G80" s="16" t="inlineStr">
        <is>
          <t>1% 0.0625W 0402</t>
        </is>
      </c>
      <c r="H80" s="16" t="inlineStr">
        <is>
          <t>10G212499014010, 10G212499014020, 10G212499014030, 10G212499014050</t>
        </is>
      </c>
    </row>
    <row r="81">
      <c r="A81" s="15" t="inlineStr">
        <is>
          <t>47kOhm</t>
        </is>
      </c>
      <c r="B81" s="15" t="n">
        <v>4</v>
      </c>
      <c r="C81" s="15" t="inlineStr">
        <is>
          <t>49.9kOhm</t>
        </is>
      </c>
      <c r="D81" s="15" t="n">
        <v>4</v>
      </c>
      <c r="E81" s="15" t="inlineStr">
        <is>
          <t>'+6.17%</t>
        </is>
      </c>
      <c r="F81" s="15" t="inlineStr">
        <is>
          <t>±10%</t>
        </is>
      </c>
      <c r="G81" s="15" t="inlineStr">
        <is>
          <t>1% 0.0625W 0402</t>
        </is>
      </c>
      <c r="H81" s="15" t="inlineStr">
        <is>
          <t>10G212499214050, 10G212499214020, 10G212499214010, 10G212499214030</t>
        </is>
      </c>
    </row>
    <row r="82">
      <c r="A82" s="16" t="inlineStr">
        <is>
          <t>47kOhm</t>
        </is>
      </c>
      <c r="B82" s="16" t="n">
        <v>4</v>
      </c>
      <c r="C82" s="16" t="inlineStr">
        <is>
          <t>43.2kOhm</t>
        </is>
      </c>
      <c r="D82" s="16" t="n">
        <v>4</v>
      </c>
      <c r="E82" s="16" t="inlineStr">
        <is>
          <t>'-8.09%</t>
        </is>
      </c>
      <c r="F82" s="16" t="inlineStr">
        <is>
          <t>±10%</t>
        </is>
      </c>
      <c r="G82" s="16" t="inlineStr">
        <is>
          <t>1% 0.0625W 0402</t>
        </is>
      </c>
      <c r="H82" s="16" t="inlineStr">
        <is>
          <t>10G212432214020, 10G212432214010, 10G212432214030, 10G212432214050</t>
        </is>
      </c>
    </row>
    <row r="83">
      <c r="A83" s="15" t="inlineStr">
        <is>
          <t>49.9Ohm</t>
        </is>
      </c>
      <c r="B83" s="15" t="n">
        <v>32</v>
      </c>
      <c r="C83" s="15" t="inlineStr">
        <is>
          <t>51Ohm</t>
        </is>
      </c>
      <c r="D83" s="15" t="n">
        <v>1</v>
      </c>
      <c r="E83" s="15" t="inlineStr">
        <is>
          <t>'+2.2%</t>
        </is>
      </c>
      <c r="F83" s="15" t="inlineStr">
        <is>
          <t>±5%</t>
        </is>
      </c>
      <c r="G83" s="15" t="inlineStr">
        <is>
          <t>1% 0.0625W 0402</t>
        </is>
      </c>
      <c r="H83" s="15" t="inlineStr">
        <is>
          <t>10G21251R014080</t>
        </is>
      </c>
    </row>
    <row r="84">
      <c r="A84" s="16" t="inlineStr">
        <is>
          <t>49.9Ohm</t>
        </is>
      </c>
      <c r="B84" s="16" t="n">
        <v>32</v>
      </c>
      <c r="C84" s="16" t="inlineStr">
        <is>
          <t>45.3Ohm</t>
        </is>
      </c>
      <c r="D84" s="16" t="n">
        <v>4</v>
      </c>
      <c r="E84" s="16" t="inlineStr">
        <is>
          <t>'-9.21%</t>
        </is>
      </c>
      <c r="F84" s="16" t="inlineStr">
        <is>
          <t>±10%</t>
        </is>
      </c>
      <c r="G84" s="16" t="inlineStr">
        <is>
          <t>1% 0.0625W 0402</t>
        </is>
      </c>
      <c r="H84" s="16" t="inlineStr">
        <is>
          <t>10G21245R314010, 10G21245R314020, 10G21245R314031, 10G21245R314050</t>
        </is>
      </c>
    </row>
    <row r="85">
      <c r="A85" s="15" t="inlineStr">
        <is>
          <t>49.9kOhm</t>
        </is>
      </c>
      <c r="B85" s="15" t="n">
        <v>4</v>
      </c>
      <c r="C85" s="15" t="inlineStr">
        <is>
          <t>47kOhm</t>
        </is>
      </c>
      <c r="D85" s="15" t="n">
        <v>4</v>
      </c>
      <c r="E85" s="15" t="inlineStr">
        <is>
          <t>'-5.81%</t>
        </is>
      </c>
      <c r="F85" s="15" t="inlineStr">
        <is>
          <t>±10%</t>
        </is>
      </c>
      <c r="G85" s="15" t="inlineStr">
        <is>
          <t>1% 0.0625W 0402</t>
        </is>
      </c>
      <c r="H85" s="15" t="inlineStr">
        <is>
          <t>10G212470214010, 10G212470214030, 10G212470214020, 10G212470214050</t>
        </is>
      </c>
    </row>
    <row r="86">
      <c r="A86" s="16" t="inlineStr">
        <is>
          <t>499Ohm</t>
        </is>
      </c>
      <c r="B86" s="16" t="n">
        <v>4</v>
      </c>
      <c r="C86" s="16" t="inlineStr">
        <is>
          <t>470Ohm</t>
        </is>
      </c>
      <c r="D86" s="16" t="n">
        <v>4</v>
      </c>
      <c r="E86" s="16" t="inlineStr">
        <is>
          <t>'-5.81%</t>
        </is>
      </c>
      <c r="F86" s="16" t="inlineStr">
        <is>
          <t>±10%</t>
        </is>
      </c>
      <c r="G86" s="16" t="inlineStr">
        <is>
          <t>1% 0.0625W 0402</t>
        </is>
      </c>
      <c r="H86" s="16" t="inlineStr">
        <is>
          <t>10G212470014010, 10G212470014030, 10G212470014020, 10G212470014050</t>
        </is>
      </c>
    </row>
    <row r="87">
      <c r="A87" s="15" t="inlineStr">
        <is>
          <t>51Ohm</t>
        </is>
      </c>
      <c r="B87" s="15" t="n">
        <v>1</v>
      </c>
      <c r="C87" s="15" t="inlineStr">
        <is>
          <t>49.9Ohm</t>
        </is>
      </c>
      <c r="D87" s="15" t="n">
        <v>32</v>
      </c>
      <c r="E87" s="15" t="inlineStr">
        <is>
          <t>'-2.15%</t>
        </is>
      </c>
      <c r="F87" s="15" t="inlineStr">
        <is>
          <t>±5%</t>
        </is>
      </c>
      <c r="G87" s="15" t="inlineStr">
        <is>
          <t>1% 0.0625W 0402</t>
        </is>
      </c>
      <c r="H87" s="15" t="inlineStr">
        <is>
          <t>10G21249R914020, 10G21249R914010, 10G21249R914030, 10G21249R914050</t>
        </is>
      </c>
    </row>
    <row r="88">
      <c r="A88" s="16" t="inlineStr">
        <is>
          <t>54.9kOhm</t>
        </is>
      </c>
      <c r="B88" s="16" t="n">
        <v>12</v>
      </c>
      <c r="C88" s="16" t="inlineStr">
        <is>
          <t>49.9kOhm</t>
        </is>
      </c>
      <c r="D88" s="16" t="n">
        <v>4</v>
      </c>
      <c r="E88" s="16" t="inlineStr">
        <is>
          <t>'-9.11%</t>
        </is>
      </c>
      <c r="F88" s="16" t="inlineStr">
        <is>
          <t>±10%</t>
        </is>
      </c>
      <c r="G88" s="16" t="inlineStr">
        <is>
          <t>1% 0.0625W 0402</t>
        </is>
      </c>
      <c r="H88" s="16" t="inlineStr">
        <is>
          <t>10G212499214050, 10G212499214020, 10G212499214010, 10G212499214030</t>
        </is>
      </c>
    </row>
    <row r="89">
      <c r="A89" s="15" t="inlineStr">
        <is>
          <t>6.49kOhm</t>
        </is>
      </c>
      <c r="B89" s="15" t="n">
        <v>4</v>
      </c>
      <c r="C89" s="15" t="inlineStr">
        <is>
          <t>6.8kOhm</t>
        </is>
      </c>
      <c r="D89" s="15" t="n">
        <v>16</v>
      </c>
      <c r="E89" s="15" t="inlineStr">
        <is>
          <t>'+4.78%</t>
        </is>
      </c>
      <c r="F89" s="15" t="inlineStr">
        <is>
          <t>±5%</t>
        </is>
      </c>
      <c r="G89" s="15" t="inlineStr">
        <is>
          <t>1% 0.0625W 0402</t>
        </is>
      </c>
      <c r="H89" s="15" t="inlineStr">
        <is>
          <t>10G212680114050, 10G212680114010, 10G212680114020, 10G212680114030</t>
        </is>
      </c>
    </row>
    <row r="90">
      <c r="A90" s="16" t="inlineStr">
        <is>
          <t>6.8kOhm</t>
        </is>
      </c>
      <c r="B90" s="16" t="n">
        <v>16</v>
      </c>
      <c r="C90" s="16" t="inlineStr">
        <is>
          <t>6.49kOhm</t>
        </is>
      </c>
      <c r="D90" s="16" t="n">
        <v>4</v>
      </c>
      <c r="E90" s="16" t="inlineStr">
        <is>
          <t>'-4.56%</t>
        </is>
      </c>
      <c r="F90" s="16" t="inlineStr">
        <is>
          <t>±5%</t>
        </is>
      </c>
      <c r="G90" s="16" t="inlineStr">
        <is>
          <t>1% 0.0625W 0402</t>
        </is>
      </c>
      <c r="H90" s="16" t="inlineStr">
        <is>
          <t>10G212649114010, 10G212649114030, 10G212649114050, 10G212649114020</t>
        </is>
      </c>
    </row>
    <row r="91">
      <c r="A91" s="15" t="inlineStr">
        <is>
          <t>6.8kOhm</t>
        </is>
      </c>
      <c r="B91" s="15" t="n">
        <v>16</v>
      </c>
      <c r="C91" s="15" t="inlineStr">
        <is>
          <t>7.32kOhm</t>
        </is>
      </c>
      <c r="D91" s="15" t="n">
        <v>4</v>
      </c>
      <c r="E91" s="15" t="inlineStr">
        <is>
          <t>'+7.65%</t>
        </is>
      </c>
      <c r="F91" s="15" t="inlineStr">
        <is>
          <t>±10%</t>
        </is>
      </c>
      <c r="G91" s="15" t="inlineStr">
        <is>
          <t>1% 0.0625W 0402</t>
        </is>
      </c>
      <c r="H91" s="15" t="inlineStr">
        <is>
          <t>10G212732114030, 10G212732114050, 10G212732114020, 10G212732114010</t>
        </is>
      </c>
    </row>
    <row r="92">
      <c r="A92" s="16" t="inlineStr">
        <is>
          <t>604Ohm</t>
        </is>
      </c>
      <c r="B92" s="16" t="n">
        <v>4</v>
      </c>
      <c r="C92" s="16" t="inlineStr">
        <is>
          <t>619Ohm</t>
        </is>
      </c>
      <c r="D92" s="16" t="n">
        <v>4</v>
      </c>
      <c r="E92" s="16" t="inlineStr">
        <is>
          <t>'+2.48%</t>
        </is>
      </c>
      <c r="F92" s="16" t="inlineStr">
        <is>
          <t>±5%</t>
        </is>
      </c>
      <c r="G92" s="16" t="inlineStr">
        <is>
          <t>1% 0.0625W 0402</t>
        </is>
      </c>
      <c r="H92" s="16" t="inlineStr">
        <is>
          <t>10G212619014030, 10G212619014010, 10G212619014020, 10G212619014050</t>
        </is>
      </c>
    </row>
    <row r="93">
      <c r="A93" s="15" t="inlineStr">
        <is>
          <t>619Ohm</t>
        </is>
      </c>
      <c r="B93" s="15" t="n">
        <v>4</v>
      </c>
      <c r="C93" s="15" t="inlineStr">
        <is>
          <t>604Ohm</t>
        </is>
      </c>
      <c r="D93" s="15" t="n">
        <v>4</v>
      </c>
      <c r="E93" s="15" t="inlineStr">
        <is>
          <t>'-2.42%</t>
        </is>
      </c>
      <c r="F93" s="15" t="inlineStr">
        <is>
          <t>±5%</t>
        </is>
      </c>
      <c r="G93" s="15" t="inlineStr">
        <is>
          <t>1% 0.0625W 0402</t>
        </is>
      </c>
      <c r="H93" s="15" t="inlineStr">
        <is>
          <t>10G212604014020, 10G212604014050, 10G212604014010, 10G212604014030</t>
        </is>
      </c>
    </row>
    <row r="94">
      <c r="A94" s="16" t="inlineStr">
        <is>
          <t>619Ohm</t>
        </is>
      </c>
      <c r="B94" s="16" t="n">
        <v>4</v>
      </c>
      <c r="C94" s="16" t="inlineStr">
        <is>
          <t>680Ohm</t>
        </is>
      </c>
      <c r="D94" s="16" t="n">
        <v>28</v>
      </c>
      <c r="E94" s="16" t="inlineStr">
        <is>
          <t>'+9.85%</t>
        </is>
      </c>
      <c r="F94" s="16" t="inlineStr">
        <is>
          <t>±10%</t>
        </is>
      </c>
      <c r="G94" s="16" t="inlineStr">
        <is>
          <t>1% 0.0625W 0402</t>
        </is>
      </c>
      <c r="H94" s="16" t="inlineStr">
        <is>
          <t>10G212680014050, 10G212680014010, 10G212680014030, 10G212680014020</t>
        </is>
      </c>
    </row>
    <row r="95">
      <c r="A95" s="15" t="inlineStr">
        <is>
          <t>620kOhm</t>
        </is>
      </c>
      <c r="B95" s="15" t="n">
        <v>3</v>
      </c>
      <c r="C95" s="15" t="inlineStr">
        <is>
          <t>649kOhm</t>
        </is>
      </c>
      <c r="D95" s="15" t="n">
        <v>8</v>
      </c>
      <c r="E95" s="15" t="inlineStr">
        <is>
          <t>'+4.68%</t>
        </is>
      </c>
      <c r="F95" s="15" t="inlineStr">
        <is>
          <t>±5%</t>
        </is>
      </c>
      <c r="G95" s="15" t="inlineStr">
        <is>
          <t>1% 0.0625W 0402</t>
        </is>
      </c>
      <c r="H95" s="15" t="inlineStr">
        <is>
          <t>10G212649314010, 10G212649314050, 10G212649314020, 10G212649314030</t>
        </is>
      </c>
    </row>
    <row r="96">
      <c r="A96" s="16" t="inlineStr">
        <is>
          <t>62Ohm</t>
        </is>
      </c>
      <c r="B96" s="16" t="n">
        <v>4</v>
      </c>
      <c r="C96" s="16" t="inlineStr">
        <is>
          <t>56Ohm</t>
        </is>
      </c>
      <c r="D96" s="16" t="n">
        <v>4</v>
      </c>
      <c r="E96" s="16" t="inlineStr">
        <is>
          <t>'-9.67%</t>
        </is>
      </c>
      <c r="F96" s="16" t="inlineStr">
        <is>
          <t>±10%</t>
        </is>
      </c>
      <c r="G96" s="16" t="inlineStr">
        <is>
          <t>5% 0.0625W 0402</t>
        </is>
      </c>
      <c r="H96" s="16" t="inlineStr">
        <is>
          <t>10G212560004050, 10G212560004020, 10G212560004030, 10G212560004010</t>
        </is>
      </c>
    </row>
    <row r="97">
      <c r="A97" s="15" t="inlineStr">
        <is>
          <t>64.9kOhm</t>
        </is>
      </c>
      <c r="B97" s="15" t="n">
        <v>4</v>
      </c>
      <c r="C97" s="15" t="inlineStr">
        <is>
          <t>68kOhm</t>
        </is>
      </c>
      <c r="D97" s="15" t="n">
        <v>16</v>
      </c>
      <c r="E97" s="15" t="inlineStr">
        <is>
          <t>'+4.78%</t>
        </is>
      </c>
      <c r="F97" s="15" t="inlineStr">
        <is>
          <t>±5%</t>
        </is>
      </c>
      <c r="G97" s="15" t="inlineStr">
        <is>
          <t>1% 0.0625W 0402</t>
        </is>
      </c>
      <c r="H97" s="15" t="inlineStr">
        <is>
          <t>10G212680214010, 10G212680214020, 10G212680214030, 10G212680214050</t>
        </is>
      </c>
    </row>
    <row r="98">
      <c r="A98" s="16" t="inlineStr">
        <is>
          <t>649kOhm</t>
        </is>
      </c>
      <c r="B98" s="16" t="n">
        <v>8</v>
      </c>
      <c r="C98" s="16" t="inlineStr">
        <is>
          <t>620kOhm</t>
        </is>
      </c>
      <c r="D98" s="16" t="n">
        <v>3</v>
      </c>
      <c r="E98" s="16" t="inlineStr">
        <is>
          <t>'-4.47%</t>
        </is>
      </c>
      <c r="F98" s="16" t="inlineStr">
        <is>
          <t>±5%</t>
        </is>
      </c>
      <c r="G98" s="16" t="inlineStr">
        <is>
          <t>1% 0.0625W 0402</t>
        </is>
      </c>
      <c r="H98" s="16" t="inlineStr">
        <is>
          <t>10G212620314010, 10G212620314020, 10G212620314030</t>
        </is>
      </c>
    </row>
    <row r="99">
      <c r="A99" s="15" t="inlineStr">
        <is>
          <t>680Ohm</t>
        </is>
      </c>
      <c r="B99" s="15" t="n">
        <v>28</v>
      </c>
      <c r="C99" s="15" t="inlineStr">
        <is>
          <t>619Ohm</t>
        </is>
      </c>
      <c r="D99" s="15" t="n">
        <v>4</v>
      </c>
      <c r="E99" s="15" t="inlineStr">
        <is>
          <t>'-8.97%</t>
        </is>
      </c>
      <c r="F99" s="15" t="inlineStr">
        <is>
          <t>±10%</t>
        </is>
      </c>
      <c r="G99" s="15" t="inlineStr">
        <is>
          <t>1% 0.0625W 0402</t>
        </is>
      </c>
      <c r="H99" s="15" t="inlineStr">
        <is>
          <t>10G212619014030, 10G212619014010, 10G212619014020, 10G212619014050</t>
        </is>
      </c>
    </row>
    <row r="100">
      <c r="A100" s="16" t="inlineStr">
        <is>
          <t>68kOhm</t>
        </is>
      </c>
      <c r="B100" s="16" t="n">
        <v>16</v>
      </c>
      <c r="C100" s="16" t="inlineStr">
        <is>
          <t>64.9kOhm</t>
        </is>
      </c>
      <c r="D100" s="16" t="n">
        <v>4</v>
      </c>
      <c r="E100" s="16" t="inlineStr">
        <is>
          <t>'-4.56%</t>
        </is>
      </c>
      <c r="F100" s="16" t="inlineStr">
        <is>
          <t>±5%</t>
        </is>
      </c>
      <c r="G100" s="16" t="inlineStr">
        <is>
          <t>1% 0.0625W 0402</t>
        </is>
      </c>
      <c r="H100" s="16" t="inlineStr">
        <is>
          <t>10G212649214020, 10G212649214010, 10G212649214030, 10G212649214050</t>
        </is>
      </c>
    </row>
    <row r="101">
      <c r="A101" s="15" t="inlineStr">
        <is>
          <t>7.32kOhm</t>
        </is>
      </c>
      <c r="B101" s="15" t="n">
        <v>4</v>
      </c>
      <c r="C101" s="15" t="inlineStr">
        <is>
          <t>6.8kOhm</t>
        </is>
      </c>
      <c r="D101" s="15" t="n">
        <v>16</v>
      </c>
      <c r="E101" s="15" t="inlineStr">
        <is>
          <t>'-7.11%</t>
        </is>
      </c>
      <c r="F101" s="15" t="inlineStr">
        <is>
          <t>±10%</t>
        </is>
      </c>
      <c r="G101" s="15" t="inlineStr">
        <is>
          <t>1% 0.0625W 0402</t>
        </is>
      </c>
      <c r="H101" s="15" t="inlineStr">
        <is>
          <t>10G212680114050, 10G212680114010, 10G212680114020, 10G212680114030</t>
        </is>
      </c>
    </row>
    <row r="102">
      <c r="A102" s="16" t="inlineStr">
        <is>
          <t>75kOhm</t>
        </is>
      </c>
      <c r="B102" s="16" t="n">
        <v>3</v>
      </c>
      <c r="C102" s="16" t="inlineStr">
        <is>
          <t>68kOhm</t>
        </is>
      </c>
      <c r="D102" s="16" t="n">
        <v>16</v>
      </c>
      <c r="E102" s="16" t="inlineStr">
        <is>
          <t>'-9.33%</t>
        </is>
      </c>
      <c r="F102" s="16" t="inlineStr">
        <is>
          <t>±10%</t>
        </is>
      </c>
      <c r="G102" s="16" t="inlineStr">
        <is>
          <t>1% 0.0625W 0402</t>
        </is>
      </c>
      <c r="H102" s="16" t="inlineStr">
        <is>
          <t>10G212680214010, 10G212680214020, 10G212680214030, 10G212680214050</t>
        </is>
      </c>
    </row>
    <row r="103">
      <c r="A103" s="15" t="inlineStr">
        <is>
          <t>8.2kOhm</t>
        </is>
      </c>
      <c r="B103" s="15" t="n">
        <v>16</v>
      </c>
      <c r="C103" s="15" t="inlineStr">
        <is>
          <t>8.66kOhm</t>
        </is>
      </c>
      <c r="D103" s="15" t="n">
        <v>4</v>
      </c>
      <c r="E103" s="15" t="inlineStr">
        <is>
          <t>'+5.61%</t>
        </is>
      </c>
      <c r="F103" s="15" t="inlineStr">
        <is>
          <t>±10%</t>
        </is>
      </c>
      <c r="G103" s="15" t="inlineStr">
        <is>
          <t>1% 0.0625W 0402</t>
        </is>
      </c>
      <c r="H103" s="15" t="inlineStr">
        <is>
          <t>10G212866114010, 10G212866114050, 10G212866114020, 10G212866114030</t>
        </is>
      </c>
    </row>
    <row r="104">
      <c r="A104" s="16" t="inlineStr">
        <is>
          <t>8.66kOhm</t>
        </is>
      </c>
      <c r="B104" s="16" t="n">
        <v>4</v>
      </c>
      <c r="C104" s="16" t="inlineStr">
        <is>
          <t>8.2kOhm</t>
        </is>
      </c>
      <c r="D104" s="16" t="n">
        <v>16</v>
      </c>
      <c r="E104" s="16" t="inlineStr">
        <is>
          <t>'-5.31%</t>
        </is>
      </c>
      <c r="F104" s="16" t="inlineStr">
        <is>
          <t>±10%</t>
        </is>
      </c>
      <c r="G104" s="16" t="inlineStr">
        <is>
          <t>1% 0.0625W 0402</t>
        </is>
      </c>
      <c r="H104" s="16" t="inlineStr">
        <is>
          <t>10G212820114050, 10G212820114010, 10G212820114020, 10G212820114030</t>
        </is>
      </c>
    </row>
  </sheetData>
  <autoFilter ref="A1:H10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5"/>
  <sheetViews>
    <sheetView showGridLines="0" workbookViewId="0">
      <pane ySplit="1" topLeftCell="A2" activePane="bottomLeft" state="frozen"/>
      <selection pane="bottomLeft" activeCell="A1" sqref="A1"/>
    </sheetView>
  </sheetViews>
  <sheetFormatPr baseColWidth="8" defaultRowHeight="15"/>
  <cols>
    <col width="29" customWidth="1" min="1" max="1"/>
    <col width="17" customWidth="1" min="2" max="2"/>
    <col width="11" customWidth="1" min="3" max="3"/>
    <col width="46" customWidth="1" min="4" max="4"/>
    <col width="11" customWidth="1" min="5" max="5"/>
    <col width="23" customWidth="1" min="6" max="6"/>
    <col width="48" customWidth="1" min="7" max="7"/>
  </cols>
  <sheetData>
    <row r="1" ht="30" customHeight="1">
      <c r="A1" s="14" t="inlineStr">
        <is>
          <t>Spec</t>
        </is>
      </c>
      <c r="B1" s="14" t="inlineStr">
        <is>
          <t>Preferred PN</t>
        </is>
      </c>
      <c r="C1" s="14" t="inlineStr">
        <is>
          <t>PN Count</t>
        </is>
      </c>
      <c r="D1" s="14" t="inlineStr">
        <is>
          <t>Vendor</t>
        </is>
      </c>
      <c r="E1" s="14" t="inlineStr">
        <is>
          <t>Qty</t>
        </is>
      </c>
      <c r="F1" s="14" t="inlineStr">
        <is>
          <t>Status</t>
        </is>
      </c>
      <c r="G1" s="14" t="inlineStr">
        <is>
          <t>Suggestion</t>
        </is>
      </c>
    </row>
    <row r="2">
      <c r="A2" s="16" t="inlineStr">
        <is>
          <t>C_0.5pF_50V_NP0___0402</t>
        </is>
      </c>
      <c r="B2" s="16" t="inlineStr">
        <is>
          <t>11203-0282Q000</t>
        </is>
      </c>
      <c r="C2" s="16" t="n">
        <v>4</v>
      </c>
      <c r="D2" s="16" t="inlineStr">
        <is>
          <t>Mlcc 0.5Pf, Samsung, Walsin</t>
        </is>
      </c>
      <c r="E2" s="16" t="n">
        <v>4</v>
      </c>
      <c r="F2" s="16" t="inlineStr">
        <is>
          <t>Ready for unified AVL</t>
        </is>
      </c>
      <c r="G2" s="16" t="inlineStr">
        <is>
          <t>Review the suggested preferred PN and publish one controlled AVL entry.</t>
        </is>
      </c>
    </row>
    <row r="3">
      <c r="A3" s="15" t="inlineStr">
        <is>
          <t>C_1.8pF_50V_NP0___0402</t>
        </is>
      </c>
      <c r="B3" s="15" t="inlineStr">
        <is>
          <t>11203-0091F100</t>
        </is>
      </c>
      <c r="C3" s="15" t="n">
        <v>1</v>
      </c>
      <c r="D3" s="15" t="inlineStr">
        <is>
          <t>Murata</t>
        </is>
      </c>
      <c r="E3" s="15" t="n">
        <v>2</v>
      </c>
      <c r="F3" s="15" t="inlineStr">
        <is>
          <t>Single-source gap</t>
        </is>
      </c>
      <c r="G3" s="15" t="inlineStr">
        <is>
          <t>Source and qualify at least one alternate manufacturer.</t>
        </is>
      </c>
    </row>
    <row r="4">
      <c r="A4" s="16" t="inlineStr">
        <is>
          <t>C_100nF_16V_X5R__10%_0201</t>
        </is>
      </c>
      <c r="B4" s="16" t="inlineStr">
        <is>
          <t>11202-0027D000</t>
        </is>
      </c>
      <c r="C4" s="16" t="n">
        <v>4</v>
      </c>
      <c r="D4" s="16" t="inlineStr">
        <is>
          <t>Murata, Mlcc 0.1Uf, Samsung</t>
        </is>
      </c>
      <c r="E4" s="16" t="n">
        <v>32</v>
      </c>
      <c r="F4" s="16" t="inlineStr">
        <is>
          <t>Ready for unified AVL</t>
        </is>
      </c>
      <c r="G4" s="16" t="inlineStr">
        <is>
          <t>Review the suggested preferred PN and publish one controlled AVL entry.</t>
        </is>
      </c>
    </row>
    <row r="5">
      <c r="A5" s="15" t="inlineStr">
        <is>
          <t>C_100nF_16V_X5R__10%_0402</t>
        </is>
      </c>
      <c r="B5" s="15" t="inlineStr">
        <is>
          <t>11203-0232Q000</t>
        </is>
      </c>
      <c r="C5" s="15" t="n">
        <v>5</v>
      </c>
      <c r="D5" s="15" t="inlineStr">
        <is>
          <t>Samsung, Murata, Mlcc 0.1Uf, Yageo</t>
        </is>
      </c>
      <c r="E5" s="15" t="n">
        <v>25</v>
      </c>
      <c r="F5" s="15" t="inlineStr">
        <is>
          <t>Ready for unified AVL</t>
        </is>
      </c>
      <c r="G5" s="15" t="inlineStr">
        <is>
          <t>Review the suggested preferred PN and publish one controlled AVL entry.</t>
        </is>
      </c>
    </row>
    <row r="6">
      <c r="A6" s="16" t="inlineStr">
        <is>
          <t>C_100nF_16V_X7R__10%_0402</t>
        </is>
      </c>
      <c r="B6" s="16" t="inlineStr">
        <is>
          <t>11203-0211P000</t>
        </is>
      </c>
      <c r="C6" s="16" t="n">
        <v>7</v>
      </c>
      <c r="D6" s="16" t="inlineStr">
        <is>
          <t>Mlcc 0.1Uf, Yageo, Samsung, Walsin, Murata</t>
        </is>
      </c>
      <c r="E6" s="16" t="n">
        <v>415</v>
      </c>
      <c r="F6" s="16" t="inlineStr">
        <is>
          <t>Ready for unified AVL</t>
        </is>
      </c>
      <c r="G6" s="16" t="inlineStr">
        <is>
          <t>Review the suggested preferred PN and publish one controlled AVL entry.</t>
        </is>
      </c>
    </row>
    <row r="7">
      <c r="A7" s="15" t="inlineStr">
        <is>
          <t>C_100nF_16V_X7R__5%_0603</t>
        </is>
      </c>
      <c r="B7" s="15" t="inlineStr">
        <is>
          <t>11G233110401070</t>
        </is>
      </c>
      <c r="C7" s="15" t="n">
        <v>3</v>
      </c>
      <c r="D7" s="15" t="inlineStr">
        <is>
          <t>Walsin, TDK, Murata</t>
        </is>
      </c>
      <c r="E7" s="15" t="n">
        <v>24</v>
      </c>
      <c r="F7" s="15" t="inlineStr">
        <is>
          <t>Ready for unified AVL</t>
        </is>
      </c>
      <c r="G7" s="15" t="inlineStr">
        <is>
          <t>Review the suggested preferred PN and publish one controlled AVL entry.</t>
        </is>
      </c>
    </row>
    <row r="8">
      <c r="A8" s="16" t="inlineStr">
        <is>
          <t>C_100nF_25V_X7R__10%_0402</t>
        </is>
      </c>
      <c r="B8" s="16" t="inlineStr">
        <is>
          <t>11203-00873000</t>
        </is>
      </c>
      <c r="C8" s="16" t="n">
        <v>5</v>
      </c>
      <c r="D8" s="16" t="inlineStr">
        <is>
          <t>Mlcc 0.1Uf, Samsung, Murata, Yageo, Walsin</t>
        </is>
      </c>
      <c r="E8" s="16" t="n">
        <v>170</v>
      </c>
      <c r="F8" s="16" t="inlineStr">
        <is>
          <t>Ready for unified AVL</t>
        </is>
      </c>
      <c r="G8" s="16" t="inlineStr">
        <is>
          <t>Review the suggested preferred PN and publish one controlled AVL entry.</t>
        </is>
      </c>
    </row>
    <row r="9">
      <c r="A9" s="15" t="inlineStr">
        <is>
          <t>C_100nF_25V_X7R__10%_0603</t>
        </is>
      </c>
      <c r="B9" s="15" t="inlineStr">
        <is>
          <t>11204-0125Q100</t>
        </is>
      </c>
      <c r="C9" s="15" t="n">
        <v>5</v>
      </c>
      <c r="D9" s="15" t="inlineStr">
        <is>
          <t>Mlcc 0.1Uf, Yageo, Samsung, Murata</t>
        </is>
      </c>
      <c r="E9" s="15" t="n">
        <v>25</v>
      </c>
      <c r="F9" s="15" t="inlineStr">
        <is>
          <t>Ready for unified AVL</t>
        </is>
      </c>
      <c r="G9" s="15" t="inlineStr">
        <is>
          <t>Review the suggested preferred PN and publish one controlled AVL entry.</t>
        </is>
      </c>
    </row>
    <row r="10">
      <c r="A10" s="16" t="inlineStr">
        <is>
          <t>C_100nF_50V_X7R__10%_0402</t>
        </is>
      </c>
      <c r="B10" s="16" t="inlineStr">
        <is>
          <t>11203-0060Q000</t>
        </is>
      </c>
      <c r="C10" s="16" t="n">
        <v>1</v>
      </c>
      <c r="D10" s="16" t="inlineStr">
        <is>
          <t>Mlcc 0.1Uf</t>
        </is>
      </c>
      <c r="E10" s="16" t="n">
        <v>4</v>
      </c>
      <c r="F10" s="16" t="inlineStr">
        <is>
          <t>Single-source gap</t>
        </is>
      </c>
      <c r="G10" s="16" t="inlineStr">
        <is>
          <t>Source and qualify at least one alternate manufacturer.</t>
        </is>
      </c>
    </row>
    <row r="11">
      <c r="A11" s="15" t="inlineStr">
        <is>
          <t>C_100nF_50V_X7R__10%_0603</t>
        </is>
      </c>
      <c r="B11" s="15" t="inlineStr">
        <is>
          <t>11204-0069Q000</t>
        </is>
      </c>
      <c r="C11" s="15" t="n">
        <v>5</v>
      </c>
      <c r="D11" s="15" t="inlineStr">
        <is>
          <t>Mlcc 0.1Uf, Yageo, Samsung, Murata</t>
        </is>
      </c>
      <c r="E11" s="15" t="n">
        <v>10</v>
      </c>
      <c r="F11" s="15" t="inlineStr">
        <is>
          <t>Ready for unified AVL</t>
        </is>
      </c>
      <c r="G11" s="15" t="inlineStr">
        <is>
          <t>Review the suggested preferred PN and publish one controlled AVL entry.</t>
        </is>
      </c>
    </row>
    <row r="12">
      <c r="A12" s="16" t="inlineStr">
        <is>
          <t>C_100nF_6.3V_X5R__10%_0201</t>
        </is>
      </c>
      <c r="B12" s="16" t="inlineStr">
        <is>
          <t>11202-0039Q000</t>
        </is>
      </c>
      <c r="C12" s="16" t="n">
        <v>5</v>
      </c>
      <c r="D12" s="16" t="inlineStr">
        <is>
          <t>Mlcc 0.1Uf, Yageo, Murata, Samsung</t>
        </is>
      </c>
      <c r="E12" s="16" t="n">
        <v>60</v>
      </c>
      <c r="F12" s="16" t="inlineStr">
        <is>
          <t>Ready for unified AVL</t>
        </is>
      </c>
      <c r="G12" s="16" t="inlineStr">
        <is>
          <t>Review the suggested preferred PN and publish one controlled AVL entry.</t>
        </is>
      </c>
    </row>
    <row r="13">
      <c r="A13" s="15" t="inlineStr">
        <is>
          <t>C_100nF_6.3V_X5R__10%_0402</t>
        </is>
      </c>
      <c r="B13" s="15" t="inlineStr">
        <is>
          <t>11203-0014F000</t>
        </is>
      </c>
      <c r="C13" s="15" t="n">
        <v>2</v>
      </c>
      <c r="D13" s="15" t="inlineStr">
        <is>
          <t>Walsin, Murata</t>
        </is>
      </c>
      <c r="E13" s="15" t="n">
        <v>50</v>
      </c>
      <c r="F13" s="15" t="inlineStr">
        <is>
          <t>Ready for unified AVL</t>
        </is>
      </c>
      <c r="G13" s="15" t="inlineStr">
        <is>
          <t>Review the suggested preferred PN and publish one controlled AVL entry.</t>
        </is>
      </c>
    </row>
    <row r="14">
      <c r="A14" s="16" t="inlineStr">
        <is>
          <t>C_100nF_6.3V_X7R__10%_0402</t>
        </is>
      </c>
      <c r="B14" s="16" t="inlineStr">
        <is>
          <t>11G232110415320</t>
        </is>
      </c>
      <c r="C14" s="16" t="n">
        <v>1</v>
      </c>
      <c r="D14" s="16" t="inlineStr">
        <is>
          <t>Murata</t>
        </is>
      </c>
      <c r="E14" s="16" t="n">
        <v>4</v>
      </c>
      <c r="F14" s="16" t="inlineStr">
        <is>
          <t>Single-source gap</t>
        </is>
      </c>
      <c r="G14" s="16" t="inlineStr">
        <is>
          <t>Source and qualify at least one alternate manufacturer.</t>
        </is>
      </c>
    </row>
    <row r="15">
      <c r="A15" s="15" t="inlineStr">
        <is>
          <t>C_100pF_50V_NP0__5%_0402</t>
        </is>
      </c>
      <c r="B15" s="15" t="inlineStr">
        <is>
          <t>11203-0042Q000</t>
        </is>
      </c>
      <c r="C15" s="15" t="n">
        <v>5</v>
      </c>
      <c r="D15" s="15" t="inlineStr">
        <is>
          <t>Mlcc 100Pf, Yageo, Walsin</t>
        </is>
      </c>
      <c r="E15" s="15" t="n">
        <v>17</v>
      </c>
      <c r="F15" s="15" t="inlineStr">
        <is>
          <t>Ready for unified AVL</t>
        </is>
      </c>
      <c r="G15" s="15" t="inlineStr">
        <is>
          <t>Review the suggested preferred PN and publish one controlled AVL entry.</t>
        </is>
      </c>
    </row>
    <row r="16">
      <c r="A16" s="16" t="inlineStr">
        <is>
          <t>C_10nF_25V_X7R__10%_0402</t>
        </is>
      </c>
      <c r="B16" s="16" t="inlineStr">
        <is>
          <t>11203-0322Q000</t>
        </is>
      </c>
      <c r="C16" s="16" t="n">
        <v>6</v>
      </c>
      <c r="D16" s="16" t="inlineStr">
        <is>
          <t>Mlcc 0.01Uf, Samsung, Murata, Yageo, Walsin</t>
        </is>
      </c>
      <c r="E16" s="16" t="n">
        <v>24</v>
      </c>
      <c r="F16" s="16" t="inlineStr">
        <is>
          <t>Ready for unified AVL</t>
        </is>
      </c>
      <c r="G16" s="16" t="inlineStr">
        <is>
          <t>Review the suggested preferred PN and publish one controlled AVL entry.</t>
        </is>
      </c>
    </row>
    <row r="17">
      <c r="A17" s="15" t="inlineStr">
        <is>
          <t>C_10nF_25V_X7R__5%_0402</t>
        </is>
      </c>
      <c r="B17" s="15" t="inlineStr">
        <is>
          <t>11203-0237K000</t>
        </is>
      </c>
      <c r="C17" s="15" t="n">
        <v>5</v>
      </c>
      <c r="D17" s="15" t="inlineStr">
        <is>
          <t>Walsin, Murata, Yageo, Mlcc 10Nf</t>
        </is>
      </c>
      <c r="E17" s="15" t="n">
        <v>35</v>
      </c>
      <c r="F17" s="15" t="inlineStr">
        <is>
          <t>Ready for unified AVL</t>
        </is>
      </c>
      <c r="G17" s="15" t="inlineStr">
        <is>
          <t>Review the suggested preferred PN and publish one controlled AVL entry.</t>
        </is>
      </c>
    </row>
    <row r="18">
      <c r="A18" s="16" t="inlineStr">
        <is>
          <t>C_10nF_50V_X7R__10%_0402</t>
        </is>
      </c>
      <c r="B18" s="16" t="inlineStr">
        <is>
          <t>11203-0187Q000</t>
        </is>
      </c>
      <c r="C18" s="16" t="n">
        <v>6</v>
      </c>
      <c r="D18" s="16" t="inlineStr">
        <is>
          <t>Mlcc 0.01Uf, Murata, Yageo, Walsin, Samsung</t>
        </is>
      </c>
      <c r="E18" s="16" t="n">
        <v>12</v>
      </c>
      <c r="F18" s="16" t="inlineStr">
        <is>
          <t>Ready for unified AVL</t>
        </is>
      </c>
      <c r="G18" s="16" t="inlineStr">
        <is>
          <t>Review the suggested preferred PN and publish one controlled AVL entry.</t>
        </is>
      </c>
    </row>
    <row r="19">
      <c r="A19" s="15" t="inlineStr">
        <is>
          <t>C_10pF_50V_NP0__5%_0402</t>
        </is>
      </c>
      <c r="B19" s="15" t="inlineStr">
        <is>
          <t>11203-0039Q000</t>
        </is>
      </c>
      <c r="C19" s="15" t="n">
        <v>5</v>
      </c>
      <c r="D19" s="15" t="inlineStr">
        <is>
          <t>Mlcc 10Pf, Yageo, Walsin, Samsung</t>
        </is>
      </c>
      <c r="E19" s="15" t="n">
        <v>20</v>
      </c>
      <c r="F19" s="15" t="inlineStr">
        <is>
          <t>Ready for unified AVL</t>
        </is>
      </c>
      <c r="G19" s="15" t="inlineStr">
        <is>
          <t>Review the suggested preferred PN and publish one controlled AVL entry.</t>
        </is>
      </c>
    </row>
    <row r="20">
      <c r="A20" s="16" t="inlineStr">
        <is>
          <t>C_10uF_16V_X6S__10%_0805</t>
        </is>
      </c>
      <c r="B20" s="16" t="inlineStr">
        <is>
          <t>11206-00107000</t>
        </is>
      </c>
      <c r="C20" s="16" t="n">
        <v>3</v>
      </c>
      <c r="D20" s="16" t="inlineStr">
        <is>
          <t>Murata, Walsin, Mlcc 10Uf</t>
        </is>
      </c>
      <c r="E20" s="16" t="n">
        <v>108</v>
      </c>
      <c r="F20" s="16" t="inlineStr">
        <is>
          <t>Ready for unified AVL</t>
        </is>
      </c>
      <c r="G20" s="16" t="inlineStr">
        <is>
          <t>Review the suggested preferred PN and publish one controlled AVL entry.</t>
        </is>
      </c>
    </row>
    <row r="21">
      <c r="A21" s="15" t="inlineStr">
        <is>
          <t>C_10uF_50V_X7R__10%_1206</t>
        </is>
      </c>
      <c r="B21" s="15" t="inlineStr">
        <is>
          <t>11207-0065D000</t>
        </is>
      </c>
      <c r="C21" s="15" t="n">
        <v>1</v>
      </c>
      <c r="D21" s="15" t="inlineStr">
        <is>
          <t>Samsung</t>
        </is>
      </c>
      <c r="E21" s="15" t="n">
        <v>7</v>
      </c>
      <c r="F21" s="15" t="inlineStr">
        <is>
          <t>Single-source gap</t>
        </is>
      </c>
      <c r="G21" s="15" t="inlineStr">
        <is>
          <t>Source and qualify at least one alternate manufacturer.</t>
        </is>
      </c>
    </row>
    <row r="22">
      <c r="A22" s="16" t="inlineStr">
        <is>
          <t>C_10uF_6.3V_X5R__20%_0402</t>
        </is>
      </c>
      <c r="B22" s="16" t="inlineStr">
        <is>
          <t>11203-00183000</t>
        </is>
      </c>
      <c r="C22" s="16" t="n">
        <v>8</v>
      </c>
      <c r="D22" s="16" t="inlineStr">
        <is>
          <t>Mlcc 10Uf, Murata, Samsung, Walsin, Yageo</t>
        </is>
      </c>
      <c r="E22" s="16" t="n">
        <v>72</v>
      </c>
      <c r="F22" s="16" t="inlineStr">
        <is>
          <t>Ready for unified AVL</t>
        </is>
      </c>
      <c r="G22" s="16" t="inlineStr">
        <is>
          <t>Review the suggested preferred PN and publish one controlled AVL entry.</t>
        </is>
      </c>
    </row>
    <row r="23">
      <c r="A23" s="15" t="inlineStr">
        <is>
          <t>C_10uF_6.3V_X5R__20%_0603</t>
        </is>
      </c>
      <c r="B23" s="15" t="inlineStr">
        <is>
          <t>11204-0020K000</t>
        </is>
      </c>
      <c r="C23" s="15" t="n">
        <v>4</v>
      </c>
      <c r="D23" s="15" t="inlineStr">
        <is>
          <t>Mlcc 10Uf, Murata, Yageo</t>
        </is>
      </c>
      <c r="E23" s="15" t="n">
        <v>148</v>
      </c>
      <c r="F23" s="15" t="inlineStr">
        <is>
          <t>Ready for unified AVL</t>
        </is>
      </c>
      <c r="G23" s="15" t="inlineStr">
        <is>
          <t>Review the suggested preferred PN and publish one controlled AVL entry.</t>
        </is>
      </c>
    </row>
    <row r="24">
      <c r="A24" s="16" t="inlineStr">
        <is>
          <t>C_10uF_6.3V_X6S__10%_0603</t>
        </is>
      </c>
      <c r="B24" s="16" t="inlineStr">
        <is>
          <t>11204-0035F000</t>
        </is>
      </c>
      <c r="C24" s="16" t="n">
        <v>1</v>
      </c>
      <c r="D24" s="16" t="inlineStr">
        <is>
          <t>Murata</t>
        </is>
      </c>
      <c r="E24" s="16" t="n">
        <v>12</v>
      </c>
      <c r="F24" s="16" t="inlineStr">
        <is>
          <t>Single-source gap</t>
        </is>
      </c>
      <c r="G24" s="16" t="inlineStr">
        <is>
          <t>Source and qualify at least one alternate manufacturer.</t>
        </is>
      </c>
    </row>
    <row r="25">
      <c r="A25" s="15" t="inlineStr">
        <is>
          <t>C_10uF_6.3V_X6S__20%_0402</t>
        </is>
      </c>
      <c r="B25" s="15" t="inlineStr">
        <is>
          <t>11203-0215F000</t>
        </is>
      </c>
      <c r="C25" s="15" t="n">
        <v>1</v>
      </c>
      <c r="D25" s="15" t="inlineStr">
        <is>
          <t>Murata</t>
        </is>
      </c>
      <c r="E25" s="15" t="n">
        <v>7</v>
      </c>
      <c r="F25" s="15" t="inlineStr">
        <is>
          <t>Single-source gap</t>
        </is>
      </c>
      <c r="G25" s="15" t="inlineStr">
        <is>
          <t>Source and qualify at least one alternate manufacturer.</t>
        </is>
      </c>
    </row>
    <row r="26">
      <c r="A26" s="16" t="inlineStr">
        <is>
          <t>C_10uF_6.3V_X6S__20%_0603</t>
        </is>
      </c>
      <c r="B26" s="16" t="inlineStr">
        <is>
          <t>11204-00247000</t>
        </is>
      </c>
      <c r="C26" s="16" t="n">
        <v>5</v>
      </c>
      <c r="D26" s="16" t="inlineStr">
        <is>
          <t>Samsung, Walsin, Murata, Mlcc 10Uf</t>
        </is>
      </c>
      <c r="E26" s="16" t="n">
        <v>60</v>
      </c>
      <c r="F26" s="16" t="inlineStr">
        <is>
          <t>Ready for unified AVL</t>
        </is>
      </c>
      <c r="G26" s="16" t="inlineStr">
        <is>
          <t>Review the suggested preferred PN and publish one controlled AVL entry.</t>
        </is>
      </c>
    </row>
    <row r="27">
      <c r="A27" s="15" t="inlineStr">
        <is>
          <t>C_15pF_50V_NP0__5%_0402</t>
        </is>
      </c>
      <c r="B27" s="15" t="inlineStr">
        <is>
          <t>11203-0140Q000</t>
        </is>
      </c>
      <c r="C27" s="15" t="n">
        <v>6</v>
      </c>
      <c r="D27" s="15" t="inlineStr">
        <is>
          <t>Mlcc 15Pf, Samsung, Yageo, Walsin</t>
        </is>
      </c>
      <c r="E27" s="15" t="n">
        <v>12</v>
      </c>
      <c r="F27" s="15" t="inlineStr">
        <is>
          <t>Ready for unified AVL</t>
        </is>
      </c>
      <c r="G27" s="15" t="inlineStr">
        <is>
          <t>Review the suggested preferred PN and publish one controlled AVL entry.</t>
        </is>
      </c>
    </row>
    <row r="28">
      <c r="A28" s="16" t="inlineStr">
        <is>
          <t>C_1nF_50V_X7R__10%_0402</t>
        </is>
      </c>
      <c r="B28" s="16" t="inlineStr">
        <is>
          <t>11203-0186Q000</t>
        </is>
      </c>
      <c r="C28" s="16" t="n">
        <v>6</v>
      </c>
      <c r="D28" s="16" t="inlineStr">
        <is>
          <t>Mlcc 1000Pf, Walsin, Yageo, Murata, Samsung</t>
        </is>
      </c>
      <c r="E28" s="16" t="n">
        <v>36</v>
      </c>
      <c r="F28" s="16" t="inlineStr">
        <is>
          <t>Ready for unified AVL</t>
        </is>
      </c>
      <c r="G28" s="16" t="inlineStr">
        <is>
          <t>Review the suggested preferred PN and publish one controlled AVL entry.</t>
        </is>
      </c>
    </row>
    <row r="29">
      <c r="A29" s="15" t="inlineStr">
        <is>
          <t>C_1uF_10V_X5R__10%_0603</t>
        </is>
      </c>
      <c r="B29" s="15" t="inlineStr">
        <is>
          <t>11G233210516030</t>
        </is>
      </c>
      <c r="C29" s="15" t="n">
        <v>6</v>
      </c>
      <c r="D29" s="15" t="inlineStr">
        <is>
          <t>Mlcc 1Uf, Yageo, Samsung, Walsin</t>
        </is>
      </c>
      <c r="E29" s="15" t="n">
        <v>18</v>
      </c>
      <c r="F29" s="15" t="inlineStr">
        <is>
          <t>Ready for unified AVL</t>
        </is>
      </c>
      <c r="G29" s="15" t="inlineStr">
        <is>
          <t>Review the suggested preferred PN and publish one controlled AVL entry.</t>
        </is>
      </c>
    </row>
    <row r="30">
      <c r="A30" s="16" t="inlineStr">
        <is>
          <t>C_1uF_16V_X5R__10%_0402</t>
        </is>
      </c>
      <c r="B30" s="16" t="inlineStr">
        <is>
          <t>11203-00037000</t>
        </is>
      </c>
      <c r="C30" s="16" t="n">
        <v>5</v>
      </c>
      <c r="D30" s="16" t="inlineStr">
        <is>
          <t>Mlcc 1Uf, Samsung, Walsin, Murata</t>
        </is>
      </c>
      <c r="E30" s="16" t="n">
        <v>10</v>
      </c>
      <c r="F30" s="16" t="inlineStr">
        <is>
          <t>Ready for unified AVL</t>
        </is>
      </c>
      <c r="G30" s="16" t="inlineStr">
        <is>
          <t>Review the suggested preferred PN and publish one controlled AVL entry.</t>
        </is>
      </c>
    </row>
    <row r="31">
      <c r="A31" s="15" t="inlineStr">
        <is>
          <t>C_1uF_16V_X7R__10%_0603</t>
        </is>
      </c>
      <c r="B31" s="15" t="inlineStr">
        <is>
          <t>11204-0070Q000</t>
        </is>
      </c>
      <c r="C31" s="15" t="n">
        <v>8</v>
      </c>
      <c r="D31" s="15" t="inlineStr">
        <is>
          <t>Mlcc 1Uf, Yageo, Walsin, Samsung, Murata</t>
        </is>
      </c>
      <c r="E31" s="15" t="n">
        <v>48</v>
      </c>
      <c r="F31" s="15" t="inlineStr">
        <is>
          <t>Ready for unified AVL</t>
        </is>
      </c>
      <c r="G31" s="15" t="inlineStr">
        <is>
          <t>Review the suggested preferred PN and publish one controlled AVL entry.</t>
        </is>
      </c>
    </row>
    <row r="32">
      <c r="A32" s="16" t="inlineStr">
        <is>
          <t>C_1uF_25V_X5R__10%_0603</t>
        </is>
      </c>
      <c r="B32" s="16" t="inlineStr">
        <is>
          <t>11G233210512030</t>
        </is>
      </c>
      <c r="C32" s="16" t="n">
        <v>6</v>
      </c>
      <c r="D32" s="16" t="inlineStr">
        <is>
          <t>Murata, Mlcc 1Uf, Yageo, Walsin, Samsung</t>
        </is>
      </c>
      <c r="E32" s="16" t="n">
        <v>12</v>
      </c>
      <c r="F32" s="16" t="inlineStr">
        <is>
          <t>Ready for unified AVL</t>
        </is>
      </c>
      <c r="G32" s="16" t="inlineStr">
        <is>
          <t>Review the suggested preferred PN and publish one controlled AVL entry.</t>
        </is>
      </c>
    </row>
    <row r="33">
      <c r="A33" s="15" t="inlineStr">
        <is>
          <t>C_1uF_50V_X5R__10%_0402</t>
        </is>
      </c>
      <c r="B33" s="15" t="inlineStr">
        <is>
          <t>11203-0402F000</t>
        </is>
      </c>
      <c r="C33" s="15" t="n">
        <v>1</v>
      </c>
      <c r="D33" s="15" t="inlineStr">
        <is>
          <t>Murata</t>
        </is>
      </c>
      <c r="E33" s="15" t="n">
        <v>4</v>
      </c>
      <c r="F33" s="15" t="inlineStr">
        <is>
          <t>Single-source gap</t>
        </is>
      </c>
      <c r="G33" s="15" t="inlineStr">
        <is>
          <t>Source and qualify at least one alternate manufacturer.</t>
        </is>
      </c>
    </row>
    <row r="34">
      <c r="A34" s="16" t="inlineStr">
        <is>
          <t>C_1uF_6.3V_X5R__10%_0402</t>
        </is>
      </c>
      <c r="B34" s="16" t="inlineStr">
        <is>
          <t>11203-0356Q000</t>
        </is>
      </c>
      <c r="C34" s="16" t="n">
        <v>6</v>
      </c>
      <c r="D34" s="16" t="inlineStr">
        <is>
          <t>Mlcc 1Uf, Yageo, Murata, Samsung</t>
        </is>
      </c>
      <c r="E34" s="16" t="n">
        <v>66</v>
      </c>
      <c r="F34" s="16" t="inlineStr">
        <is>
          <t>Ready for unified AVL</t>
        </is>
      </c>
      <c r="G34" s="16" t="inlineStr">
        <is>
          <t>Review the suggested preferred PN and publish one controlled AVL entry.</t>
        </is>
      </c>
    </row>
    <row r="35">
      <c r="A35" s="15" t="inlineStr">
        <is>
          <t>C_1uF_6.3V_X5R__20%_0201</t>
        </is>
      </c>
      <c r="B35" s="15" t="inlineStr">
        <is>
          <t>11202-0055Q100</t>
        </is>
      </c>
      <c r="C35" s="15" t="n">
        <v>3</v>
      </c>
      <c r="D35" s="15" t="inlineStr">
        <is>
          <t>Mlcc 1Uf, Samsung, Murata</t>
        </is>
      </c>
      <c r="E35" s="15" t="n">
        <v>90</v>
      </c>
      <c r="F35" s="15" t="inlineStr">
        <is>
          <t>Ready for unified AVL</t>
        </is>
      </c>
      <c r="G35" s="15" t="inlineStr">
        <is>
          <t>Review the suggested preferred PN and publish one controlled AVL entry.</t>
        </is>
      </c>
    </row>
    <row r="36">
      <c r="A36" s="16" t="inlineStr">
        <is>
          <t>C_1uF_6.3V_X6S__10%_0402</t>
        </is>
      </c>
      <c r="B36" s="16" t="inlineStr">
        <is>
          <t>11203-0173K000</t>
        </is>
      </c>
      <c r="C36" s="16" t="n">
        <v>5</v>
      </c>
      <c r="D36" s="16" t="inlineStr">
        <is>
          <t>Murata, Mlcc 1Uf, Samsung</t>
        </is>
      </c>
      <c r="E36" s="16" t="n">
        <v>40</v>
      </c>
      <c r="F36" s="16" t="inlineStr">
        <is>
          <t>Ready for unified AVL</t>
        </is>
      </c>
      <c r="G36" s="16" t="inlineStr">
        <is>
          <t>Review the suggested preferred PN and publish one controlled AVL entry.</t>
        </is>
      </c>
    </row>
    <row r="37">
      <c r="A37" s="15" t="inlineStr">
        <is>
          <t>C_2.2nF_50V_X5R__10%_0402</t>
        </is>
      </c>
      <c r="B37" s="15" t="inlineStr">
        <is>
          <t>11G232222214320</t>
        </is>
      </c>
      <c r="C37" s="15" t="n">
        <v>1</v>
      </c>
      <c r="D37" s="15" t="inlineStr">
        <is>
          <t>Murata</t>
        </is>
      </c>
      <c r="E37" s="15" t="n">
        <v>1</v>
      </c>
      <c r="F37" s="15" t="inlineStr">
        <is>
          <t>Single-source gap</t>
        </is>
      </c>
      <c r="G37" s="15" t="inlineStr">
        <is>
          <t>Source and qualify at least one alternate manufacturer.</t>
        </is>
      </c>
    </row>
    <row r="38">
      <c r="A38" s="16" t="inlineStr">
        <is>
          <t>C_2.2nF_50V_X7R__10%_0402</t>
        </is>
      </c>
      <c r="B38" s="16" t="inlineStr">
        <is>
          <t>11203-0068Q000</t>
        </is>
      </c>
      <c r="C38" s="16" t="n">
        <v>6</v>
      </c>
      <c r="D38" s="16" t="inlineStr">
        <is>
          <t>Mlcc 2200Pf, Yageo, Walsin, Samsung, Murata</t>
        </is>
      </c>
      <c r="E38" s="16" t="n">
        <v>6</v>
      </c>
      <c r="F38" s="16" t="inlineStr">
        <is>
          <t>Ready for unified AVL</t>
        </is>
      </c>
      <c r="G38" s="16" t="inlineStr">
        <is>
          <t>Review the suggested preferred PN and publish one controlled AVL entry.</t>
        </is>
      </c>
    </row>
    <row r="39">
      <c r="A39" s="15" t="inlineStr">
        <is>
          <t>C_2.2uF_10V_X5R__10%_0603</t>
        </is>
      </c>
      <c r="B39" s="15" t="inlineStr">
        <is>
          <t>11G233222516070</t>
        </is>
      </c>
      <c r="C39" s="15" t="n">
        <v>4</v>
      </c>
      <c r="D39" s="15" t="inlineStr">
        <is>
          <t>Mlcc 2.2Uf, Samsung, Walsin, Murata</t>
        </is>
      </c>
      <c r="E39" s="15" t="n">
        <v>12</v>
      </c>
      <c r="F39" s="15" t="inlineStr">
        <is>
          <t>Ready for unified AVL</t>
        </is>
      </c>
      <c r="G39" s="15" t="inlineStr">
        <is>
          <t>Review the suggested preferred PN and publish one controlled AVL entry.</t>
        </is>
      </c>
    </row>
    <row r="40">
      <c r="A40" s="16" t="inlineStr">
        <is>
          <t>C_2.2uF_16V_X5R__10%_0402</t>
        </is>
      </c>
      <c r="B40" s="16" t="inlineStr">
        <is>
          <t>11203-0030D000</t>
        </is>
      </c>
      <c r="C40" s="16" t="n">
        <v>3</v>
      </c>
      <c r="D40" s="16" t="inlineStr">
        <is>
          <t>Murata, Samsung, Mlcc 2.2Uf</t>
        </is>
      </c>
      <c r="E40" s="16" t="n">
        <v>15</v>
      </c>
      <c r="F40" s="16" t="inlineStr">
        <is>
          <t>Ready for unified AVL</t>
        </is>
      </c>
      <c r="G40" s="16" t="inlineStr">
        <is>
          <t>Review the suggested preferred PN and publish one controlled AVL entry.</t>
        </is>
      </c>
    </row>
    <row r="41">
      <c r="A41" s="15" t="inlineStr">
        <is>
          <t>C_2.2uF_16V_X5R__10%_0603</t>
        </is>
      </c>
      <c r="B41" s="15" t="inlineStr">
        <is>
          <t>11204-0006Q000</t>
        </is>
      </c>
      <c r="C41" s="15" t="n">
        <v>6</v>
      </c>
      <c r="D41" s="15" t="inlineStr">
        <is>
          <t>Mlcc 2.2Uf, Samsung, Murata, Walsin</t>
        </is>
      </c>
      <c r="E41" s="15" t="n">
        <v>30</v>
      </c>
      <c r="F41" s="15" t="inlineStr">
        <is>
          <t>Ready for unified AVL</t>
        </is>
      </c>
      <c r="G41" s="15" t="inlineStr">
        <is>
          <t>Review the suggested preferred PN and publish one controlled AVL entry.</t>
        </is>
      </c>
    </row>
    <row r="42">
      <c r="A42" s="16" t="inlineStr">
        <is>
          <t>C_2.2uF_6.3V_X5R__20%_0201</t>
        </is>
      </c>
      <c r="B42" s="16" t="inlineStr">
        <is>
          <t>11202-0063D000</t>
        </is>
      </c>
      <c r="C42" s="16" t="n">
        <v>3</v>
      </c>
      <c r="D42" s="16" t="inlineStr">
        <is>
          <t>Mlcc 2.2Uf, Samsung, Murata</t>
        </is>
      </c>
      <c r="E42" s="16" t="n">
        <v>6</v>
      </c>
      <c r="F42" s="16" t="inlineStr">
        <is>
          <t>Ready for unified AVL</t>
        </is>
      </c>
      <c r="G42" s="16" t="inlineStr">
        <is>
          <t>Review the suggested preferred PN and publish one controlled AVL entry.</t>
        </is>
      </c>
    </row>
    <row r="43">
      <c r="A43" s="15" t="inlineStr">
        <is>
          <t>C_2.2uF_6.3V_X5R__20%_0402</t>
        </is>
      </c>
      <c r="B43" s="15" t="inlineStr">
        <is>
          <t>11203-0142Q000</t>
        </is>
      </c>
      <c r="C43" s="15" t="n">
        <v>7</v>
      </c>
      <c r="D43" s="15" t="inlineStr">
        <is>
          <t>Murata, Yageo, Walsin, Mlcc 2.2Uf, Samsung</t>
        </is>
      </c>
      <c r="E43" s="15" t="n">
        <v>49</v>
      </c>
      <c r="F43" s="15" t="inlineStr">
        <is>
          <t>Ready for unified AVL</t>
        </is>
      </c>
      <c r="G43" s="15" t="inlineStr">
        <is>
          <t>Review the suggested preferred PN and publish one controlled AVL entry.</t>
        </is>
      </c>
    </row>
    <row r="44">
      <c r="A44" s="16" t="inlineStr">
        <is>
          <t>C_2.2uF_6.3V_X6S__10%_0402</t>
        </is>
      </c>
      <c r="B44" s="16" t="inlineStr">
        <is>
          <t>11203-0154F000</t>
        </is>
      </c>
      <c r="C44" s="16" t="n">
        <v>1</v>
      </c>
      <c r="D44" s="16" t="inlineStr">
        <is>
          <t>Murata</t>
        </is>
      </c>
      <c r="E44" s="16" t="n">
        <v>8</v>
      </c>
      <c r="F44" s="16" t="inlineStr">
        <is>
          <t>Single-source gap</t>
        </is>
      </c>
      <c r="G44" s="16" t="inlineStr">
        <is>
          <t>Source and qualify at least one alternate manufacturer.</t>
        </is>
      </c>
    </row>
    <row r="45">
      <c r="A45" s="15" t="inlineStr">
        <is>
          <t>C_220nF_10V_X5R__10%_0402</t>
        </is>
      </c>
      <c r="B45" s="15" t="inlineStr">
        <is>
          <t>11203-0367Q000</t>
        </is>
      </c>
      <c r="C45" s="15" t="n">
        <v>7</v>
      </c>
      <c r="D45" s="15" t="inlineStr">
        <is>
          <t>Mlcc 0.22Uf, Yageo, Samsung, Murata, Walsin</t>
        </is>
      </c>
      <c r="E45" s="15" t="n">
        <v>42</v>
      </c>
      <c r="F45" s="15" t="inlineStr">
        <is>
          <t>Ready for unified AVL</t>
        </is>
      </c>
      <c r="G45" s="15" t="inlineStr">
        <is>
          <t>Review the suggested preferred PN and publish one controlled AVL entry.</t>
        </is>
      </c>
    </row>
    <row r="46">
      <c r="A46" s="16" t="inlineStr">
        <is>
          <t>C_220nF_25V_X7R__10%_0402</t>
        </is>
      </c>
      <c r="B46" s="16" t="inlineStr">
        <is>
          <t>11203-0176H000</t>
        </is>
      </c>
      <c r="C46" s="16" t="n">
        <v>2</v>
      </c>
      <c r="D46" s="16" t="inlineStr">
        <is>
          <t>Yageo, Mlcc 0.22Uf</t>
        </is>
      </c>
      <c r="E46" s="16" t="n">
        <v>3</v>
      </c>
      <c r="F46" s="16" t="inlineStr">
        <is>
          <t>Ready for unified AVL</t>
        </is>
      </c>
      <c r="G46" s="16" t="inlineStr">
        <is>
          <t>Review the suggested preferred PN and publish one controlled AVL entry.</t>
        </is>
      </c>
    </row>
    <row r="47">
      <c r="A47" s="15" t="inlineStr">
        <is>
          <t>C_220nF_6.3V_X5R__10%_0402</t>
        </is>
      </c>
      <c r="B47" s="15" t="inlineStr">
        <is>
          <t>11203-0035D000</t>
        </is>
      </c>
      <c r="C47" s="15" t="n">
        <v>6</v>
      </c>
      <c r="D47" s="15" t="inlineStr">
        <is>
          <t>Samsung, Walsin, Mlcc 0.22Uf, Murata, Yageo</t>
        </is>
      </c>
      <c r="E47" s="15" t="n">
        <v>12</v>
      </c>
      <c r="F47" s="15" t="inlineStr">
        <is>
          <t>Ready for unified AVL</t>
        </is>
      </c>
      <c r="G47" s="15" t="inlineStr">
        <is>
          <t>Review the suggested preferred PN and publish one controlled AVL entry.</t>
        </is>
      </c>
    </row>
    <row r="48">
      <c r="A48" s="16" t="inlineStr">
        <is>
          <t>C_220nF_6.3V_X5R__20%_0201</t>
        </is>
      </c>
      <c r="B48" s="16" t="inlineStr">
        <is>
          <t>11202-0008D000</t>
        </is>
      </c>
      <c r="C48" s="16" t="n">
        <v>4</v>
      </c>
      <c r="D48" s="16" t="inlineStr">
        <is>
          <t>Murata, Samsung</t>
        </is>
      </c>
      <c r="E48" s="16" t="n">
        <v>112</v>
      </c>
      <c r="F48" s="16" t="inlineStr">
        <is>
          <t>Ready for unified AVL</t>
        </is>
      </c>
      <c r="G48" s="16" t="inlineStr">
        <is>
          <t>Review the suggested preferred PN and publish one controlled AVL entry.</t>
        </is>
      </c>
    </row>
    <row r="49">
      <c r="A49" s="15" t="inlineStr">
        <is>
          <t>C_220pF_50V_NP0__2%_0201</t>
        </is>
      </c>
      <c r="B49" s="15" t="inlineStr">
        <is>
          <t>11202-0359Q000</t>
        </is>
      </c>
      <c r="C49" s="15" t="n">
        <v>1</v>
      </c>
      <c r="D49" s="15" t="inlineStr">
        <is>
          <t>Mlcc 220Pf</t>
        </is>
      </c>
      <c r="E49" s="15" t="n">
        <v>2</v>
      </c>
      <c r="F49" s="15" t="inlineStr">
        <is>
          <t>Single-source gap</t>
        </is>
      </c>
      <c r="G49" s="15" t="inlineStr">
        <is>
          <t>Source and qualify at least one alternate manufacturer.</t>
        </is>
      </c>
    </row>
    <row r="50">
      <c r="A50" s="16" t="inlineStr">
        <is>
          <t>C_22nF_16V_X7R__10%_0402</t>
        </is>
      </c>
      <c r="B50" s="16" t="inlineStr">
        <is>
          <t>11G232122311030</t>
        </is>
      </c>
      <c r="C50" s="16" t="n">
        <v>6</v>
      </c>
      <c r="D50" s="16" t="inlineStr">
        <is>
          <t>Murata, Yageo, Walsin, Samsung, Mlcc 0.022Uf</t>
        </is>
      </c>
      <c r="E50" s="16" t="n">
        <v>6</v>
      </c>
      <c r="F50" s="16" t="inlineStr">
        <is>
          <t>Ready for unified AVL</t>
        </is>
      </c>
      <c r="G50" s="16" t="inlineStr">
        <is>
          <t>Review the suggested preferred PN and publish one controlled AVL entry.</t>
        </is>
      </c>
    </row>
    <row r="51">
      <c r="A51" s="15" t="inlineStr">
        <is>
          <t>C_22nF_50V_X7R__10%_0402</t>
        </is>
      </c>
      <c r="B51" s="15" t="inlineStr">
        <is>
          <t>11203-0061F000</t>
        </is>
      </c>
      <c r="C51" s="15" t="n">
        <v>1</v>
      </c>
      <c r="D51" s="15" t="inlineStr">
        <is>
          <t>Murata</t>
        </is>
      </c>
      <c r="E51" s="15" t="n">
        <v>2</v>
      </c>
      <c r="F51" s="15" t="inlineStr">
        <is>
          <t>Single-source gap</t>
        </is>
      </c>
      <c r="G51" s="15" t="inlineStr">
        <is>
          <t>Source and qualify at least one alternate manufacturer.</t>
        </is>
      </c>
    </row>
    <row r="52">
      <c r="A52" s="16" t="inlineStr">
        <is>
          <t>C_22pF_50V_NP0__5%_0402</t>
        </is>
      </c>
      <c r="B52" s="16" t="inlineStr">
        <is>
          <t>11203-0040Q000</t>
        </is>
      </c>
      <c r="C52" s="16" t="n">
        <v>6</v>
      </c>
      <c r="D52" s="16" t="inlineStr">
        <is>
          <t>Mlcc 22Pf, Samsung, Yageo, Walsin</t>
        </is>
      </c>
      <c r="E52" s="16" t="n">
        <v>12</v>
      </c>
      <c r="F52" s="16" t="inlineStr">
        <is>
          <t>Ready for unified AVL</t>
        </is>
      </c>
      <c r="G52" s="16" t="inlineStr">
        <is>
          <t>Review the suggested preferred PN and publish one controlled AVL entry.</t>
        </is>
      </c>
    </row>
    <row r="53">
      <c r="A53" s="15" t="inlineStr">
        <is>
          <t>C_22uF_25V_X5R__20%_0805</t>
        </is>
      </c>
      <c r="B53" s="15" t="inlineStr">
        <is>
          <t>11206-0005F000</t>
        </is>
      </c>
      <c r="C53" s="15" t="n">
        <v>1</v>
      </c>
      <c r="D53" s="15" t="inlineStr">
        <is>
          <t>Murata</t>
        </is>
      </c>
      <c r="E53" s="15" t="n">
        <v>6</v>
      </c>
      <c r="F53" s="15" t="inlineStr">
        <is>
          <t>Single-source gap</t>
        </is>
      </c>
      <c r="G53" s="15" t="inlineStr">
        <is>
          <t>Source and qualify at least one alternate manufacturer.</t>
        </is>
      </c>
    </row>
    <row r="54">
      <c r="A54" s="16" t="inlineStr">
        <is>
          <t>C_22uF_6.3V_X5R__20%_0603</t>
        </is>
      </c>
      <c r="B54" s="16" t="inlineStr">
        <is>
          <t>11204-00143000</t>
        </is>
      </c>
      <c r="C54" s="16" t="n">
        <v>5</v>
      </c>
      <c r="D54" s="16" t="inlineStr">
        <is>
          <t>Murata, Mlcc 22Uf, Walsin, Yageo</t>
        </is>
      </c>
      <c r="E54" s="16" t="n">
        <v>225</v>
      </c>
      <c r="F54" s="16" t="inlineStr">
        <is>
          <t>Ready for unified AVL</t>
        </is>
      </c>
      <c r="G54" s="16" t="inlineStr">
        <is>
          <t>Review the suggested preferred PN and publish one controlled AVL entry.</t>
        </is>
      </c>
    </row>
    <row r="55">
      <c r="A55" s="15" t="inlineStr">
        <is>
          <t>C_22uF_6.3V_X6S__20%_0603</t>
        </is>
      </c>
      <c r="B55" s="15" t="inlineStr">
        <is>
          <t>11204-0036D000</t>
        </is>
      </c>
      <c r="C55" s="15" t="n">
        <v>3</v>
      </c>
      <c r="D55" s="15" t="inlineStr">
        <is>
          <t>Murata, Mlcc 22Uf</t>
        </is>
      </c>
      <c r="E55" s="15" t="n">
        <v>165</v>
      </c>
      <c r="F55" s="15" t="inlineStr">
        <is>
          <t>Ready for unified AVL</t>
        </is>
      </c>
      <c r="G55" s="15" t="inlineStr">
        <is>
          <t>Review the suggested preferred PN and publish one controlled AVL entry.</t>
        </is>
      </c>
    </row>
    <row r="56">
      <c r="A56" s="16" t="inlineStr">
        <is>
          <t>C_270pF_50V_NP0__5%_0402</t>
        </is>
      </c>
      <c r="B56" s="16" t="inlineStr">
        <is>
          <t>11G232027104030</t>
        </is>
      </c>
      <c r="C56" s="16" t="n">
        <v>6</v>
      </c>
      <c r="D56" s="16" t="inlineStr">
        <is>
          <t>Samsung, Walsin, Murata, Mlcc 270Pf, Yageo</t>
        </is>
      </c>
      <c r="E56" s="16" t="n">
        <v>6</v>
      </c>
      <c r="F56" s="16" t="inlineStr">
        <is>
          <t>Ready for unified AVL</t>
        </is>
      </c>
      <c r="G56" s="16" t="inlineStr">
        <is>
          <t>Review the suggested preferred PN and publish one controlled AVL entry.</t>
        </is>
      </c>
    </row>
    <row r="57">
      <c r="A57" s="15" t="inlineStr">
        <is>
          <t>C_27pF_50V_NP0__5%_0402</t>
        </is>
      </c>
      <c r="B57" s="15" t="inlineStr">
        <is>
          <t>11203-0167Q000</t>
        </is>
      </c>
      <c r="C57" s="15" t="n">
        <v>6</v>
      </c>
      <c r="D57" s="15" t="inlineStr">
        <is>
          <t>Mlcc 27Pf, Samsung, Yageo, Walsin</t>
        </is>
      </c>
      <c r="E57" s="15" t="n">
        <v>12</v>
      </c>
      <c r="F57" s="15" t="inlineStr">
        <is>
          <t>Ready for unified AVL</t>
        </is>
      </c>
      <c r="G57" s="15" t="inlineStr">
        <is>
          <t>Review the suggested preferred PN and publish one controlled AVL entry.</t>
        </is>
      </c>
    </row>
    <row r="58">
      <c r="A58" s="16" t="inlineStr">
        <is>
          <t>C_330nF_6.3V_X5R__10%_0201</t>
        </is>
      </c>
      <c r="B58" s="16" t="inlineStr">
        <is>
          <t>11202-04477000</t>
        </is>
      </c>
      <c r="C58" s="16" t="n">
        <v>3</v>
      </c>
      <c r="D58" s="16" t="inlineStr">
        <is>
          <t>Mlcc 0.33Uf, Walsin</t>
        </is>
      </c>
      <c r="E58" s="16" t="n">
        <v>12</v>
      </c>
      <c r="F58" s="16" t="inlineStr">
        <is>
          <t>Ready for unified AVL</t>
        </is>
      </c>
      <c r="G58" s="16" t="inlineStr">
        <is>
          <t>Review the suggested preferred PN and publish one controlled AVL entry.</t>
        </is>
      </c>
    </row>
    <row r="59">
      <c r="A59" s="15" t="inlineStr">
        <is>
          <t>C_330nF_6.3V_X5R__10%_0402</t>
        </is>
      </c>
      <c r="B59" s="15" t="inlineStr">
        <is>
          <t>11203-01823000</t>
        </is>
      </c>
      <c r="C59" s="15" t="n">
        <v>5</v>
      </c>
      <c r="D59" s="15" t="inlineStr">
        <is>
          <t>Mlcc 0.33Uf, Murata, Walsin, Yageo</t>
        </is>
      </c>
      <c r="E59" s="15" t="n">
        <v>10</v>
      </c>
      <c r="F59" s="15" t="inlineStr">
        <is>
          <t>Ready for unified AVL</t>
        </is>
      </c>
      <c r="G59" s="15" t="inlineStr">
        <is>
          <t>Review the suggested preferred PN and publish one controlled AVL entry.</t>
        </is>
      </c>
    </row>
    <row r="60">
      <c r="A60" s="16" t="inlineStr">
        <is>
          <t>C_330pF_50V_NP0__5%_0402</t>
        </is>
      </c>
      <c r="B60" s="16" t="inlineStr">
        <is>
          <t>11203-0230Q000</t>
        </is>
      </c>
      <c r="C60" s="16" t="n">
        <v>7</v>
      </c>
      <c r="D60" s="16" t="inlineStr">
        <is>
          <t>Mlcc 330Pf, Samsung, Yageo, Walsin, Murata</t>
        </is>
      </c>
      <c r="E60" s="16" t="n">
        <v>7</v>
      </c>
      <c r="F60" s="16" t="inlineStr">
        <is>
          <t>Ready for unified AVL</t>
        </is>
      </c>
      <c r="G60" s="16" t="inlineStr">
        <is>
          <t>Review the suggested preferred PN and publish one controlled AVL entry.</t>
        </is>
      </c>
    </row>
    <row r="61">
      <c r="A61" s="15" t="inlineStr">
        <is>
          <t>C_4.7uF_25V_X5R__10%_0603</t>
        </is>
      </c>
      <c r="B61" s="15" t="inlineStr">
        <is>
          <t>11204-0010D000</t>
        </is>
      </c>
      <c r="C61" s="15" t="n">
        <v>4</v>
      </c>
      <c r="D61" s="15" t="inlineStr">
        <is>
          <t>Samsung, Mlcc 4.7Uf, Murata</t>
        </is>
      </c>
      <c r="E61" s="15" t="n">
        <v>4</v>
      </c>
      <c r="F61" s="15" t="inlineStr">
        <is>
          <t>Ready for unified AVL</t>
        </is>
      </c>
      <c r="G61" s="15" t="inlineStr">
        <is>
          <t>Review the suggested preferred PN and publish one controlled AVL entry.</t>
        </is>
      </c>
    </row>
    <row r="62">
      <c r="A62" s="16" t="inlineStr">
        <is>
          <t>C_4.7uF_6.3V_X5R__10%_0603</t>
        </is>
      </c>
      <c r="B62" s="16" t="inlineStr">
        <is>
          <t>11204-0054N000</t>
        </is>
      </c>
      <c r="C62" s="16" t="n">
        <v>9</v>
      </c>
      <c r="D62" s="16" t="inlineStr">
        <is>
          <t>Samsung, Yageo, Mlcc 4.7Uf, Walsin, Murata</t>
        </is>
      </c>
      <c r="E62" s="16" t="n">
        <v>99</v>
      </c>
      <c r="F62" s="16" t="inlineStr">
        <is>
          <t>Ready for unified AVL</t>
        </is>
      </c>
      <c r="G62" s="16" t="inlineStr">
        <is>
          <t>Review the suggested preferred PN and publish one controlled AVL entry.</t>
        </is>
      </c>
    </row>
    <row r="63">
      <c r="A63" s="15" t="inlineStr">
        <is>
          <t>C_4.7uF_6.3V_X5R__20%_0402</t>
        </is>
      </c>
      <c r="B63" s="15" t="inlineStr">
        <is>
          <t>11203-00527000</t>
        </is>
      </c>
      <c r="C63" s="15" t="n">
        <v>6</v>
      </c>
      <c r="D63" s="15" t="inlineStr">
        <is>
          <t>Samsung, Murata, Mlcc 4.7Uf, Walsin</t>
        </is>
      </c>
      <c r="E63" s="15" t="n">
        <v>48</v>
      </c>
      <c r="F63" s="15" t="inlineStr">
        <is>
          <t>Ready for unified AVL</t>
        </is>
      </c>
      <c r="G63" s="15" t="inlineStr">
        <is>
          <t>Review the suggested preferred PN and publish one controlled AVL entry.</t>
        </is>
      </c>
    </row>
    <row r="64">
      <c r="A64" s="16" t="inlineStr">
        <is>
          <t>C_4.7uF_6.3V_X6S__20%_0402</t>
        </is>
      </c>
      <c r="B64" s="16" t="inlineStr">
        <is>
          <t>11203-0241F000</t>
        </is>
      </c>
      <c r="C64" s="16" t="n">
        <v>1</v>
      </c>
      <c r="D64" s="16" t="inlineStr">
        <is>
          <t>Murata</t>
        </is>
      </c>
      <c r="E64" s="16" t="n">
        <v>8</v>
      </c>
      <c r="F64" s="16" t="inlineStr">
        <is>
          <t>Single-source gap</t>
        </is>
      </c>
      <c r="G64" s="16" t="inlineStr">
        <is>
          <t>Source and qualify at least one alternate manufacturer.</t>
        </is>
      </c>
    </row>
    <row r="65">
      <c r="A65" s="15" t="inlineStr">
        <is>
          <t>C_470nF_16V_X5R__10%_0402</t>
        </is>
      </c>
      <c r="B65" s="15" t="inlineStr">
        <is>
          <t>11203-0135D000</t>
        </is>
      </c>
      <c r="C65" s="15" t="n">
        <v>3</v>
      </c>
      <c r="D65" s="15" t="inlineStr">
        <is>
          <t>Samsung, Murata, Mlcc 0.47Uf</t>
        </is>
      </c>
      <c r="E65" s="15" t="n">
        <v>3</v>
      </c>
      <c r="F65" s="15" t="inlineStr">
        <is>
          <t>Ready for unified AVL</t>
        </is>
      </c>
      <c r="G65" s="15" t="inlineStr">
        <is>
          <t>Review the suggested preferred PN and publish one controlled AVL entry.</t>
        </is>
      </c>
    </row>
    <row r="66">
      <c r="A66" s="16" t="inlineStr">
        <is>
          <t>C_470nF_16V_X7R__10%_0603</t>
        </is>
      </c>
      <c r="B66" s="16" t="inlineStr">
        <is>
          <t>11G233147411030</t>
        </is>
      </c>
      <c r="C66" s="16" t="n">
        <v>5</v>
      </c>
      <c r="D66" s="16" t="inlineStr">
        <is>
          <t>Murata, Yageo, Walsin, Samsung, Mlcc 0.47Uf</t>
        </is>
      </c>
      <c r="E66" s="16" t="n">
        <v>5</v>
      </c>
      <c r="F66" s="16" t="inlineStr">
        <is>
          <t>Ready for unified AVL</t>
        </is>
      </c>
      <c r="G66" s="16" t="inlineStr">
        <is>
          <t>Review the suggested preferred PN and publish one controlled AVL entry.</t>
        </is>
      </c>
    </row>
    <row r="67">
      <c r="A67" s="15" t="inlineStr">
        <is>
          <t>C_470nF_6.3V_X5R__10%_0402</t>
        </is>
      </c>
      <c r="B67" s="15" t="inlineStr">
        <is>
          <t>11G232247415030</t>
        </is>
      </c>
      <c r="C67" s="15" t="n">
        <v>6</v>
      </c>
      <c r="D67" s="15" t="inlineStr">
        <is>
          <t>Samsung, Yageo, Walsin, Mlcc 0.47Uf, Murata</t>
        </is>
      </c>
      <c r="E67" s="15" t="n">
        <v>6</v>
      </c>
      <c r="F67" s="15" t="inlineStr">
        <is>
          <t>Ready for unified AVL</t>
        </is>
      </c>
      <c r="G67" s="15" t="inlineStr">
        <is>
          <t>Review the suggested preferred PN and publish one controlled AVL entry.</t>
        </is>
      </c>
    </row>
    <row r="68">
      <c r="A68" s="16" t="inlineStr">
        <is>
          <t>C_470pF_50V_NP0__5%_0402</t>
        </is>
      </c>
      <c r="B68" s="16" t="inlineStr">
        <is>
          <t>11203-0312Q000</t>
        </is>
      </c>
      <c r="C68" s="16" t="n">
        <v>6</v>
      </c>
      <c r="D68" s="16" t="inlineStr">
        <is>
          <t>Mlcc 470Pf, Murata, Walsin, Samsung</t>
        </is>
      </c>
      <c r="E68" s="16" t="n">
        <v>6</v>
      </c>
      <c r="F68" s="16" t="inlineStr">
        <is>
          <t>Ready for unified AVL</t>
        </is>
      </c>
      <c r="G68" s="16" t="inlineStr">
        <is>
          <t>Review the suggested preferred PN and publish one controlled AVL entry.</t>
        </is>
      </c>
    </row>
    <row r="69">
      <c r="A69" s="15" t="inlineStr">
        <is>
          <t>C_47pF_50V_NP0__5%_0402</t>
        </is>
      </c>
      <c r="B69" s="15" t="inlineStr">
        <is>
          <t>11203-0115Q100</t>
        </is>
      </c>
      <c r="C69" s="15" t="n">
        <v>7</v>
      </c>
      <c r="D69" s="15" t="inlineStr">
        <is>
          <t>Mlcc 47Pf, Murata, Samsung, Yageo, Walsin</t>
        </is>
      </c>
      <c r="E69" s="15" t="n">
        <v>7</v>
      </c>
      <c r="F69" s="15" t="inlineStr">
        <is>
          <t>Ready for unified AVL</t>
        </is>
      </c>
      <c r="G69" s="15" t="inlineStr">
        <is>
          <t>Review the suggested preferred PN and publish one controlled AVL entry.</t>
        </is>
      </c>
    </row>
    <row r="70">
      <c r="A70" s="16" t="inlineStr">
        <is>
          <t>C_47uF_4V_X6S__20%_0603</t>
        </is>
      </c>
      <c r="B70" s="16" t="inlineStr">
        <is>
          <t>11204-0083D000</t>
        </is>
      </c>
      <c r="C70" s="16" t="n">
        <v>2</v>
      </c>
      <c r="D70" s="16" t="inlineStr">
        <is>
          <t>Murata, Samsung</t>
        </is>
      </c>
      <c r="E70" s="16" t="n">
        <v>8</v>
      </c>
      <c r="F70" s="16" t="inlineStr">
        <is>
          <t>Ready for unified AVL</t>
        </is>
      </c>
      <c r="G70" s="16" t="inlineStr">
        <is>
          <t>Review the suggested preferred PN and publish one controlled AVL entry.</t>
        </is>
      </c>
    </row>
    <row r="71">
      <c r="A71" s="15" t="inlineStr">
        <is>
          <t>C_82pF_50V_NP0__5%_0402</t>
        </is>
      </c>
      <c r="B71" s="15" t="inlineStr">
        <is>
          <t>11203-0036Q000</t>
        </is>
      </c>
      <c r="C71" s="15" t="n">
        <v>6</v>
      </c>
      <c r="D71" s="15" t="inlineStr">
        <is>
          <t>Mlcc 82Pf, Walsin, Yageo, Samsung</t>
        </is>
      </c>
      <c r="E71" s="15" t="n">
        <v>12</v>
      </c>
      <c r="F71" s="15" t="inlineStr">
        <is>
          <t>Ready for unified AVL</t>
        </is>
      </c>
      <c r="G71" s="15" t="inlineStr">
        <is>
          <t>Review the suggested preferred PN and publish one controlled AVL entry.</t>
        </is>
      </c>
    </row>
    <row r="72">
      <c r="A72" s="16" t="inlineStr">
        <is>
          <t>R_0Ohm_1%_0.1W__0603</t>
        </is>
      </c>
      <c r="B72" s="16" t="inlineStr">
        <is>
          <t>10G213000013020</t>
        </is>
      </c>
      <c r="C72" s="16" t="n">
        <v>3</v>
      </c>
      <c r="D72" s="16" t="inlineStr">
        <is>
          <t>Res 0 Ohm 1, Yageo</t>
        </is>
      </c>
      <c r="E72" s="16" t="n">
        <v>60</v>
      </c>
      <c r="F72" s="16" t="inlineStr">
        <is>
          <t>Ready for unified AVL</t>
        </is>
      </c>
      <c r="G72" s="16" t="inlineStr">
        <is>
          <t>Review the suggested preferred PN and publish one controlled AVL entry.</t>
        </is>
      </c>
    </row>
    <row r="73">
      <c r="A73" s="15" t="inlineStr">
        <is>
          <t>R_0Ohm_5%_0.0625W__0402</t>
        </is>
      </c>
      <c r="B73" s="15" t="inlineStr">
        <is>
          <t>10G212000004020</t>
        </is>
      </c>
      <c r="C73" s="15" t="n">
        <v>1</v>
      </c>
      <c r="D73" s="15" t="inlineStr">
        <is>
          <t>Res 0 Ohm 1</t>
        </is>
      </c>
      <c r="E73" s="15" t="n">
        <v>140</v>
      </c>
      <c r="F73" s="15" t="inlineStr">
        <is>
          <t>Single-source gap</t>
        </is>
      </c>
      <c r="G73" s="15" t="inlineStr">
        <is>
          <t>Source and qualify at least one alternate manufacturer.</t>
        </is>
      </c>
    </row>
    <row r="74">
      <c r="A74" s="16" t="inlineStr">
        <is>
          <t>R_1.21kOhm_1%_0.0625W__0402</t>
        </is>
      </c>
      <c r="B74" s="16" t="inlineStr">
        <is>
          <t>10G212121114010</t>
        </is>
      </c>
      <c r="C74" s="16" t="n">
        <v>4</v>
      </c>
      <c r="D74" s="16" t="inlineStr">
        <is>
          <t>Res 1.21K Ohm 1, Yageo</t>
        </is>
      </c>
      <c r="E74" s="16" t="n">
        <v>56</v>
      </c>
      <c r="F74" s="16" t="inlineStr">
        <is>
          <t>Ready for unified AVL</t>
        </is>
      </c>
      <c r="G74" s="16" t="inlineStr">
        <is>
          <t>Review the suggested preferred PN and publish one controlled AVL entry.</t>
        </is>
      </c>
    </row>
    <row r="75">
      <c r="A75" s="15" t="inlineStr">
        <is>
          <t>R_10.2kOhm_1%_0.0625W__0402</t>
        </is>
      </c>
      <c r="B75" s="15" t="inlineStr">
        <is>
          <t>10G212102214010</t>
        </is>
      </c>
      <c r="C75" s="15" t="n">
        <v>4</v>
      </c>
      <c r="D75" s="15" t="inlineStr">
        <is>
          <t>Res 10.2K Ohm 1, Yageo</t>
        </is>
      </c>
      <c r="E75" s="15" t="n">
        <v>8</v>
      </c>
      <c r="F75" s="15" t="inlineStr">
        <is>
          <t>Ready for unified AVL</t>
        </is>
      </c>
      <c r="G75" s="15" t="inlineStr">
        <is>
          <t>Review the suggested preferred PN and publish one controlled AVL entry.</t>
        </is>
      </c>
    </row>
    <row r="76">
      <c r="A76" s="16" t="inlineStr">
        <is>
          <t>R_10.5kOhm_1%_0.0625W__0402</t>
        </is>
      </c>
      <c r="B76" s="16" t="inlineStr">
        <is>
          <t>10G212105214010</t>
        </is>
      </c>
      <c r="C76" s="16" t="n">
        <v>4</v>
      </c>
      <c r="D76" s="16" t="inlineStr">
        <is>
          <t>Res 10.5K Ohm 1, Yageo</t>
        </is>
      </c>
      <c r="E76" s="16" t="n">
        <v>8</v>
      </c>
      <c r="F76" s="16" t="inlineStr">
        <is>
          <t>Ready for unified AVL</t>
        </is>
      </c>
      <c r="G76" s="16" t="inlineStr">
        <is>
          <t>Review the suggested preferred PN and publish one controlled AVL entry.</t>
        </is>
      </c>
    </row>
    <row r="77">
      <c r="A77" s="15" t="inlineStr">
        <is>
          <t>R_100Ohm_1%_0.05W__0201</t>
        </is>
      </c>
      <c r="B77" s="15" t="inlineStr">
        <is>
          <t>10G211100017010</t>
        </is>
      </c>
      <c r="C77" s="15" t="n">
        <v>3</v>
      </c>
      <c r="D77" s="15" t="inlineStr">
        <is>
          <t>Res 100 Ohm 1, Yageo</t>
        </is>
      </c>
      <c r="E77" s="15" t="n">
        <v>6</v>
      </c>
      <c r="F77" s="15" t="inlineStr">
        <is>
          <t>Ready for unified AVL</t>
        </is>
      </c>
      <c r="G77" s="15" t="inlineStr">
        <is>
          <t>Review the suggested preferred PN and publish one controlled AVL entry.</t>
        </is>
      </c>
    </row>
    <row r="78">
      <c r="A78" s="16" t="inlineStr">
        <is>
          <t>R_100Ohm_1%_0.0625W__0402</t>
        </is>
      </c>
      <c r="B78" s="16" t="inlineStr">
        <is>
          <t>10G212100014010</t>
        </is>
      </c>
      <c r="C78" s="16" t="n">
        <v>4</v>
      </c>
      <c r="D78" s="16" t="inlineStr">
        <is>
          <t>Res 100 Ohm 1, Yageo</t>
        </is>
      </c>
      <c r="E78" s="16" t="n">
        <v>68</v>
      </c>
      <c r="F78" s="16" t="inlineStr">
        <is>
          <t>Ready for unified AVL</t>
        </is>
      </c>
      <c r="G78" s="16" t="inlineStr">
        <is>
          <t>Review the suggested preferred PN and publish one controlled AVL entry.</t>
        </is>
      </c>
    </row>
    <row r="79">
      <c r="A79" s="15" t="inlineStr">
        <is>
          <t>R_100kOhm_1%_0.05W__0201</t>
        </is>
      </c>
      <c r="B79" s="15" t="inlineStr">
        <is>
          <t>10101-01825000</t>
        </is>
      </c>
      <c r="C79" s="15" t="n">
        <v>4</v>
      </c>
      <c r="D79" s="15" t="inlineStr">
        <is>
          <t>Yageo, Res 100K Ohm 1</t>
        </is>
      </c>
      <c r="E79" s="15" t="n">
        <v>16</v>
      </c>
      <c r="F79" s="15" t="inlineStr">
        <is>
          <t>Ready for unified AVL</t>
        </is>
      </c>
      <c r="G79" s="15" t="inlineStr">
        <is>
          <t>Review the suggested preferred PN and publish one controlled AVL entry.</t>
        </is>
      </c>
    </row>
    <row r="80">
      <c r="A80" s="16" t="inlineStr">
        <is>
          <t>R_100kOhm_1%_0.0625W__0402</t>
        </is>
      </c>
      <c r="B80" s="16" t="inlineStr">
        <is>
          <t>10G212100314010</t>
        </is>
      </c>
      <c r="C80" s="16" t="n">
        <v>4</v>
      </c>
      <c r="D80" s="16" t="inlineStr">
        <is>
          <t>Res 100K Ohm 1, Yageo</t>
        </is>
      </c>
      <c r="E80" s="16" t="n">
        <v>264</v>
      </c>
      <c r="F80" s="16" t="inlineStr">
        <is>
          <t>Ready for unified AVL</t>
        </is>
      </c>
      <c r="G80" s="16" t="inlineStr">
        <is>
          <t>Review the suggested preferred PN and publish one controlled AVL entry.</t>
        </is>
      </c>
    </row>
    <row r="81">
      <c r="A81" s="15" t="inlineStr">
        <is>
          <t>R_10MOhm_1%_0.0625W__0402</t>
        </is>
      </c>
      <c r="B81" s="15" t="inlineStr">
        <is>
          <t>10G212100514010</t>
        </is>
      </c>
      <c r="C81" s="15" t="n">
        <v>4</v>
      </c>
      <c r="D81" s="15" t="inlineStr">
        <is>
          <t>Res 10M Ohm 1, Yageo</t>
        </is>
      </c>
      <c r="E81" s="15" t="n">
        <v>8</v>
      </c>
      <c r="F81" s="15" t="inlineStr">
        <is>
          <t>Ready for unified AVL</t>
        </is>
      </c>
      <c r="G81" s="15" t="inlineStr">
        <is>
          <t>Review the suggested preferred PN and publish one controlled AVL entry.</t>
        </is>
      </c>
    </row>
    <row r="82">
      <c r="A82" s="16" t="inlineStr">
        <is>
          <t>R_10Ohm_1%_0.0625W__0402</t>
        </is>
      </c>
      <c r="B82" s="16" t="inlineStr">
        <is>
          <t>10G21210R014010</t>
        </is>
      </c>
      <c r="C82" s="16" t="n">
        <v>4</v>
      </c>
      <c r="D82" s="16" t="inlineStr">
        <is>
          <t>Res 10 Ohm 1, Yageo</t>
        </is>
      </c>
      <c r="E82" s="16" t="n">
        <v>8</v>
      </c>
      <c r="F82" s="16" t="inlineStr">
        <is>
          <t>Ready for unified AVL</t>
        </is>
      </c>
      <c r="G82" s="16" t="inlineStr">
        <is>
          <t>Review the suggested preferred PN and publish one controlled AVL entry.</t>
        </is>
      </c>
    </row>
    <row r="83">
      <c r="A83" s="15" t="inlineStr">
        <is>
          <t>R_10Ohm_1%_0.1W__0603</t>
        </is>
      </c>
      <c r="B83" s="15" t="inlineStr">
        <is>
          <t>10G21310R013010</t>
        </is>
      </c>
      <c r="C83" s="15" t="n">
        <v>4</v>
      </c>
      <c r="D83" s="15" t="inlineStr">
        <is>
          <t>Res 10 Ohm 1, Yageo</t>
        </is>
      </c>
      <c r="E83" s="15" t="n">
        <v>8</v>
      </c>
      <c r="F83" s="15" t="inlineStr">
        <is>
          <t>Ready for unified AVL</t>
        </is>
      </c>
      <c r="G83" s="15" t="inlineStr">
        <is>
          <t>Review the suggested preferred PN and publish one controlled AVL entry.</t>
        </is>
      </c>
    </row>
    <row r="84">
      <c r="A84" s="16" t="inlineStr">
        <is>
          <t>R_10kOhm_1%_0.0625W__0402</t>
        </is>
      </c>
      <c r="B84" s="16" t="inlineStr">
        <is>
          <t>10G212100214010</t>
        </is>
      </c>
      <c r="C84" s="16" t="n">
        <v>4</v>
      </c>
      <c r="D84" s="16" t="inlineStr">
        <is>
          <t>Res 10K Ohm 1, Yageo</t>
        </is>
      </c>
      <c r="E84" s="16" t="n">
        <v>248</v>
      </c>
      <c r="F84" s="16" t="inlineStr">
        <is>
          <t>Ready for unified AVL</t>
        </is>
      </c>
      <c r="G84" s="16" t="inlineStr">
        <is>
          <t>Review the suggested preferred PN and publish one controlled AVL entry.</t>
        </is>
      </c>
    </row>
    <row r="85">
      <c r="A85" s="15" t="inlineStr">
        <is>
          <t>R_11.8kOhm_1%_0.0625W__0402</t>
        </is>
      </c>
      <c r="B85" s="15" t="inlineStr">
        <is>
          <t>10G212118214010</t>
        </is>
      </c>
      <c r="C85" s="15" t="n">
        <v>4</v>
      </c>
      <c r="D85" s="15" t="inlineStr">
        <is>
          <t>Res 11.8K Ohm 1, Yageo</t>
        </is>
      </c>
      <c r="E85" s="15" t="n">
        <v>4</v>
      </c>
      <c r="F85" s="15" t="inlineStr">
        <is>
          <t>Ready for unified AVL</t>
        </is>
      </c>
      <c r="G85" s="15" t="inlineStr">
        <is>
          <t>Review the suggested preferred PN and publish one controlled AVL entry.</t>
        </is>
      </c>
    </row>
    <row r="86">
      <c r="A86" s="16" t="inlineStr">
        <is>
          <t>R_113Ohm_1%_0.0625W__0402</t>
        </is>
      </c>
      <c r="B86" s="16" t="inlineStr">
        <is>
          <t>10G212113014010</t>
        </is>
      </c>
      <c r="C86" s="16" t="n">
        <v>4</v>
      </c>
      <c r="D86" s="16" t="inlineStr">
        <is>
          <t>Res 113 Ohm 1, Yageo</t>
        </is>
      </c>
      <c r="E86" s="16" t="n">
        <v>4</v>
      </c>
      <c r="F86" s="16" t="inlineStr">
        <is>
          <t>Ready for unified AVL</t>
        </is>
      </c>
      <c r="G86" s="16" t="inlineStr">
        <is>
          <t>Review the suggested preferred PN and publish one controlled AVL entry.</t>
        </is>
      </c>
    </row>
    <row r="87">
      <c r="A87" s="15" t="inlineStr">
        <is>
          <t>R_12kOhm_1%_0.0625W__0402</t>
        </is>
      </c>
      <c r="B87" s="15" t="inlineStr">
        <is>
          <t>10G212120214010</t>
        </is>
      </c>
      <c r="C87" s="15" t="n">
        <v>4</v>
      </c>
      <c r="D87" s="15" t="inlineStr">
        <is>
          <t>Res 12K Ohm 1, Yageo</t>
        </is>
      </c>
      <c r="E87" s="15" t="n">
        <v>20</v>
      </c>
      <c r="F87" s="15" t="inlineStr">
        <is>
          <t>Ready for unified AVL</t>
        </is>
      </c>
      <c r="G87" s="15" t="inlineStr">
        <is>
          <t>Review the suggested preferred PN and publish one controlled AVL entry.</t>
        </is>
      </c>
    </row>
    <row r="88">
      <c r="A88" s="16" t="inlineStr">
        <is>
          <t>R_14kOhm_1%_0.0625W__0402</t>
        </is>
      </c>
      <c r="B88" s="16" t="inlineStr">
        <is>
          <t>10G212140214010</t>
        </is>
      </c>
      <c r="C88" s="16" t="n">
        <v>4</v>
      </c>
      <c r="D88" s="16" t="inlineStr">
        <is>
          <t>Res 14K Ohm 1, Yageo</t>
        </is>
      </c>
      <c r="E88" s="16" t="n">
        <v>4</v>
      </c>
      <c r="F88" s="16" t="inlineStr">
        <is>
          <t>Ready for unified AVL</t>
        </is>
      </c>
      <c r="G88" s="16" t="inlineStr">
        <is>
          <t>Review the suggested preferred PN and publish one controlled AVL entry.</t>
        </is>
      </c>
    </row>
    <row r="89">
      <c r="A89" s="15" t="inlineStr">
        <is>
          <t>R_150Ohm_1%_0.0625W__0402</t>
        </is>
      </c>
      <c r="B89" s="15" t="inlineStr">
        <is>
          <t>10G212150014010</t>
        </is>
      </c>
      <c r="C89" s="15" t="n">
        <v>4</v>
      </c>
      <c r="D89" s="15" t="inlineStr">
        <is>
          <t>Yageo, Res 150 Ohm 1</t>
        </is>
      </c>
      <c r="E89" s="15" t="n">
        <v>16</v>
      </c>
      <c r="F89" s="15" t="inlineStr">
        <is>
          <t>Ready for unified AVL</t>
        </is>
      </c>
      <c r="G89" s="15" t="inlineStr">
        <is>
          <t>Review the suggested preferred PN and publish one controlled AVL entry.</t>
        </is>
      </c>
    </row>
    <row r="90">
      <c r="A90" s="16" t="inlineStr">
        <is>
          <t>R_154kOhm_1%_0.0625W__0402</t>
        </is>
      </c>
      <c r="B90" s="16" t="inlineStr">
        <is>
          <t>10G212154314010</t>
        </is>
      </c>
      <c r="C90" s="16" t="n">
        <v>4</v>
      </c>
      <c r="D90" s="16" t="inlineStr">
        <is>
          <t>Yageo, Res 154K Ohm 1</t>
        </is>
      </c>
      <c r="E90" s="16" t="n">
        <v>8</v>
      </c>
      <c r="F90" s="16" t="inlineStr">
        <is>
          <t>Ready for unified AVL</t>
        </is>
      </c>
      <c r="G90" s="16" t="inlineStr">
        <is>
          <t>Review the suggested preferred PN and publish one controlled AVL entry.</t>
        </is>
      </c>
    </row>
    <row r="91">
      <c r="A91" s="15" t="inlineStr">
        <is>
          <t>R_15Ohm_1%_0.0625W__0402</t>
        </is>
      </c>
      <c r="B91" s="15" t="inlineStr">
        <is>
          <t>10G21215R014010</t>
        </is>
      </c>
      <c r="C91" s="15" t="n">
        <v>4</v>
      </c>
      <c r="D91" s="15" t="inlineStr">
        <is>
          <t>Res 15 Ohm 1, Yageo</t>
        </is>
      </c>
      <c r="E91" s="15" t="n">
        <v>40</v>
      </c>
      <c r="F91" s="15" t="inlineStr">
        <is>
          <t>Ready for unified AVL</t>
        </is>
      </c>
      <c r="G91" s="15" t="inlineStr">
        <is>
          <t>Review the suggested preferred PN and publish one controlled AVL entry.</t>
        </is>
      </c>
    </row>
    <row r="92">
      <c r="A92" s="16" t="inlineStr">
        <is>
          <t>R_16.2kOhm_1%_0.0625W__0402</t>
        </is>
      </c>
      <c r="B92" s="16" t="inlineStr">
        <is>
          <t>10G212162214010</t>
        </is>
      </c>
      <c r="C92" s="16" t="n">
        <v>4</v>
      </c>
      <c r="D92" s="16" t="inlineStr">
        <is>
          <t>Res 16.2K Ohm 1, Yageo</t>
        </is>
      </c>
      <c r="E92" s="16" t="n">
        <v>4</v>
      </c>
      <c r="F92" s="16" t="inlineStr">
        <is>
          <t>Ready for unified AVL</t>
        </is>
      </c>
      <c r="G92" s="16" t="inlineStr">
        <is>
          <t>Review the suggested preferred PN and publish one controlled AVL entry.</t>
        </is>
      </c>
    </row>
    <row r="93">
      <c r="A93" s="15" t="inlineStr">
        <is>
          <t>R_16.9kOhm_1%_0.0625W__0402</t>
        </is>
      </c>
      <c r="B93" s="15" t="inlineStr">
        <is>
          <t>10G212169214010</t>
        </is>
      </c>
      <c r="C93" s="15" t="n">
        <v>4</v>
      </c>
      <c r="D93" s="15" t="inlineStr">
        <is>
          <t>Res 16.9K Ohm 1, Yageo</t>
        </is>
      </c>
      <c r="E93" s="15" t="n">
        <v>4</v>
      </c>
      <c r="F93" s="15" t="inlineStr">
        <is>
          <t>Ready for unified AVL</t>
        </is>
      </c>
      <c r="G93" s="15" t="inlineStr">
        <is>
          <t>Review the suggested preferred PN and publish one controlled AVL entry.</t>
        </is>
      </c>
    </row>
    <row r="94">
      <c r="A94" s="16" t="inlineStr">
        <is>
          <t>R_18.7kOhm_1%_0.0625W__0402</t>
        </is>
      </c>
      <c r="B94" s="16" t="inlineStr">
        <is>
          <t>10G212187214010</t>
        </is>
      </c>
      <c r="C94" s="16" t="n">
        <v>4</v>
      </c>
      <c r="D94" s="16" t="inlineStr">
        <is>
          <t>Res 18.7K Ohm 1, Yageo</t>
        </is>
      </c>
      <c r="E94" s="16" t="n">
        <v>8</v>
      </c>
      <c r="F94" s="16" t="inlineStr">
        <is>
          <t>Ready for unified AVL</t>
        </is>
      </c>
      <c r="G94" s="16" t="inlineStr">
        <is>
          <t>Review the suggested preferred PN and publish one controlled AVL entry.</t>
        </is>
      </c>
    </row>
    <row r="95">
      <c r="A95" s="15" t="inlineStr">
        <is>
          <t>R_182Ohm_1%_0.0625W__0402</t>
        </is>
      </c>
      <c r="B95" s="15" t="inlineStr">
        <is>
          <t>10G212182014010</t>
        </is>
      </c>
      <c r="C95" s="15" t="n">
        <v>4</v>
      </c>
      <c r="D95" s="15" t="inlineStr">
        <is>
          <t>Res 182 Ohm 1, Yageo</t>
        </is>
      </c>
      <c r="E95" s="15" t="n">
        <v>8</v>
      </c>
      <c r="F95" s="15" t="inlineStr">
        <is>
          <t>Ready for unified AVL</t>
        </is>
      </c>
      <c r="G95" s="15" t="inlineStr">
        <is>
          <t>Review the suggested preferred PN and publish one controlled AVL entry.</t>
        </is>
      </c>
    </row>
    <row r="96">
      <c r="A96" s="16" t="inlineStr">
        <is>
          <t>R_1MOhm_1%_0.0625W__0402</t>
        </is>
      </c>
      <c r="B96" s="16" t="inlineStr">
        <is>
          <t>10G212100414010</t>
        </is>
      </c>
      <c r="C96" s="16" t="n">
        <v>4</v>
      </c>
      <c r="D96" s="16" t="inlineStr">
        <is>
          <t>Res 1M Ohm 1, Yageo</t>
        </is>
      </c>
      <c r="E96" s="16" t="n">
        <v>32</v>
      </c>
      <c r="F96" s="16" t="inlineStr">
        <is>
          <t>Ready for unified AVL</t>
        </is>
      </c>
      <c r="G96" s="16" t="inlineStr">
        <is>
          <t>Review the suggested preferred PN and publish one controlled AVL entry.</t>
        </is>
      </c>
    </row>
    <row r="97">
      <c r="A97" s="15" t="inlineStr">
        <is>
          <t>R_1Ohm_1%_0.0625W__0402</t>
        </is>
      </c>
      <c r="B97" s="15" t="inlineStr">
        <is>
          <t>10G2121R0014010</t>
        </is>
      </c>
      <c r="C97" s="15" t="n">
        <v>4</v>
      </c>
      <c r="D97" s="15" t="inlineStr">
        <is>
          <t>Res 1 Ohm 1, Yageo</t>
        </is>
      </c>
      <c r="E97" s="15" t="n">
        <v>8</v>
      </c>
      <c r="F97" s="15" t="inlineStr">
        <is>
          <t>Ready for unified AVL</t>
        </is>
      </c>
      <c r="G97" s="15" t="inlineStr">
        <is>
          <t>Review the suggested preferred PN and publish one controlled AVL entry.</t>
        </is>
      </c>
    </row>
    <row r="98">
      <c r="A98" s="16" t="inlineStr">
        <is>
          <t>R_1Ohm_5%_0.1W__0603</t>
        </is>
      </c>
      <c r="B98" s="16" t="inlineStr">
        <is>
          <t>10G2131R0003010</t>
        </is>
      </c>
      <c r="C98" s="16" t="n">
        <v>4</v>
      </c>
      <c r="D98" s="16" t="inlineStr">
        <is>
          <t>Res 1 Ohm 1, Yageo</t>
        </is>
      </c>
      <c r="E98" s="16" t="n">
        <v>20</v>
      </c>
      <c r="F98" s="16" t="inlineStr">
        <is>
          <t>Ready for unified AVL</t>
        </is>
      </c>
      <c r="G98" s="16" t="inlineStr">
        <is>
          <t>Review the suggested preferred PN and publish one controlled AVL entry.</t>
        </is>
      </c>
    </row>
    <row r="99">
      <c r="A99" s="15" t="inlineStr">
        <is>
          <t>R_1kOhm_1%_0.0625W__0402</t>
        </is>
      </c>
      <c r="B99" s="15" t="inlineStr">
        <is>
          <t>10G212100114010</t>
        </is>
      </c>
      <c r="C99" s="15" t="n">
        <v>4</v>
      </c>
      <c r="D99" s="15" t="inlineStr">
        <is>
          <t>Res 1K Ohm 1, Yageo</t>
        </is>
      </c>
      <c r="E99" s="15" t="n">
        <v>168</v>
      </c>
      <c r="F99" s="15" t="inlineStr">
        <is>
          <t>Ready for unified AVL</t>
        </is>
      </c>
      <c r="G99" s="15" t="inlineStr">
        <is>
          <t>Review the suggested preferred PN and publish one controlled AVL entry.</t>
        </is>
      </c>
    </row>
    <row r="100">
      <c r="A100" s="16" t="inlineStr">
        <is>
          <t>R_1kOhm_5%_0.25W__1206</t>
        </is>
      </c>
      <c r="B100" s="16" t="inlineStr">
        <is>
          <t>10G216102001010</t>
        </is>
      </c>
      <c r="C100" s="16" t="n">
        <v>3</v>
      </c>
      <c r="D100" s="16" t="inlineStr">
        <is>
          <t>Yageo, Res 1K Ohm 1</t>
        </is>
      </c>
      <c r="E100" s="16" t="n">
        <v>3</v>
      </c>
      <c r="F100" s="16" t="inlineStr">
        <is>
          <t>Ready for unified AVL</t>
        </is>
      </c>
      <c r="G100" s="16" t="inlineStr">
        <is>
          <t>Review the suggested preferred PN and publish one controlled AVL entry.</t>
        </is>
      </c>
    </row>
    <row r="101">
      <c r="A101" s="15" t="inlineStr">
        <is>
          <t>R_1mOhm_1%_3W__2512</t>
        </is>
      </c>
      <c r="B101" s="15" t="inlineStr">
        <is>
          <t>10108-00241000</t>
        </is>
      </c>
      <c r="C101" s="15" t="n">
        <v>2</v>
      </c>
      <c r="D101" s="15" t="inlineStr"/>
      <c r="E101" s="15" t="n">
        <v>2</v>
      </c>
      <c r="F101" s="15" t="inlineStr">
        <is>
          <t>Single-source gap</t>
        </is>
      </c>
      <c r="G101" s="15" t="inlineStr">
        <is>
          <t>Source and qualify at least one alternate manufacturer.</t>
        </is>
      </c>
    </row>
    <row r="102">
      <c r="A102" s="16" t="inlineStr">
        <is>
          <t>R_2.2Ohm_1%_0.0625W__0402</t>
        </is>
      </c>
      <c r="B102" s="16" t="inlineStr">
        <is>
          <t>10G2122R2014010</t>
        </is>
      </c>
      <c r="C102" s="16" t="n">
        <v>4</v>
      </c>
      <c r="D102" s="16" t="inlineStr">
        <is>
          <t>Yageo, Res 2.2 Ohm 1</t>
        </is>
      </c>
      <c r="E102" s="16" t="n">
        <v>40</v>
      </c>
      <c r="F102" s="16" t="inlineStr">
        <is>
          <t>Ready for unified AVL</t>
        </is>
      </c>
      <c r="G102" s="16" t="inlineStr">
        <is>
          <t>Review the suggested preferred PN and publish one controlled AVL entry.</t>
        </is>
      </c>
    </row>
    <row r="103">
      <c r="A103" s="15" t="inlineStr">
        <is>
          <t>R_2.2Ohm_5%_0.1W__0603</t>
        </is>
      </c>
      <c r="B103" s="15" t="inlineStr">
        <is>
          <t>10G2132R2003010</t>
        </is>
      </c>
      <c r="C103" s="15" t="n">
        <v>4</v>
      </c>
      <c r="D103" s="15" t="inlineStr">
        <is>
          <t>Res 2.2 Ohm 1, Yageo</t>
        </is>
      </c>
      <c r="E103" s="15" t="n">
        <v>36</v>
      </c>
      <c r="F103" s="15" t="inlineStr">
        <is>
          <t>Ready for unified AVL</t>
        </is>
      </c>
      <c r="G103" s="15" t="inlineStr">
        <is>
          <t>Review the suggested preferred PN and publish one controlled AVL entry.</t>
        </is>
      </c>
    </row>
    <row r="104">
      <c r="A104" s="16" t="inlineStr">
        <is>
          <t>R_2.2kOhm_1%_0.0625W__0402</t>
        </is>
      </c>
      <c r="B104" s="16" t="inlineStr">
        <is>
          <t>10G212220114010</t>
        </is>
      </c>
      <c r="C104" s="16" t="n">
        <v>4</v>
      </c>
      <c r="D104" s="16" t="inlineStr">
        <is>
          <t>Res 2.2K Ohm 1, Yageo</t>
        </is>
      </c>
      <c r="E104" s="16" t="n">
        <v>88</v>
      </c>
      <c r="F104" s="16" t="inlineStr">
        <is>
          <t>Ready for unified AVL</t>
        </is>
      </c>
      <c r="G104" s="16" t="inlineStr">
        <is>
          <t>Review the suggested preferred PN and publish one controlled AVL entry.</t>
        </is>
      </c>
    </row>
    <row r="105">
      <c r="A105" s="15" t="inlineStr">
        <is>
          <t>R_2.67kOhm_1%_0.0625W__0402</t>
        </is>
      </c>
      <c r="B105" s="15" t="inlineStr">
        <is>
          <t>10G212267114010</t>
        </is>
      </c>
      <c r="C105" s="15" t="n">
        <v>4</v>
      </c>
      <c r="D105" s="15" t="inlineStr">
        <is>
          <t>Res 2.67K Ohm 1, Yageo</t>
        </is>
      </c>
      <c r="E105" s="15" t="n">
        <v>4</v>
      </c>
      <c r="F105" s="15" t="inlineStr">
        <is>
          <t>Ready for unified AVL</t>
        </is>
      </c>
      <c r="G105" s="15" t="inlineStr">
        <is>
          <t>Review the suggested preferred PN and publish one controlled AVL entry.</t>
        </is>
      </c>
    </row>
    <row r="106">
      <c r="A106" s="16" t="inlineStr">
        <is>
          <t>R_2.74kOhm_1%_0.0625W__0402</t>
        </is>
      </c>
      <c r="B106" s="16" t="inlineStr">
        <is>
          <t>10G212274114010</t>
        </is>
      </c>
      <c r="C106" s="16" t="n">
        <v>4</v>
      </c>
      <c r="D106" s="16" t="inlineStr">
        <is>
          <t>Res 2.74K Ohm 1, Yageo</t>
        </is>
      </c>
      <c r="E106" s="16" t="n">
        <v>4</v>
      </c>
      <c r="F106" s="16" t="inlineStr">
        <is>
          <t>Ready for unified AVL</t>
        </is>
      </c>
      <c r="G106" s="16" t="inlineStr">
        <is>
          <t>Review the suggested preferred PN and publish one controlled AVL entry.</t>
        </is>
      </c>
    </row>
    <row r="107">
      <c r="A107" s="15" t="inlineStr">
        <is>
          <t>R_2.7kOhm_1%_0.0625W__0402</t>
        </is>
      </c>
      <c r="B107" s="15" t="inlineStr">
        <is>
          <t>10G212270114010</t>
        </is>
      </c>
      <c r="C107" s="15" t="n">
        <v>4</v>
      </c>
      <c r="D107" s="15" t="inlineStr">
        <is>
          <t>Res 2.7K Ohm 1, Yageo</t>
        </is>
      </c>
      <c r="E107" s="15" t="n">
        <v>48</v>
      </c>
      <c r="F107" s="15" t="inlineStr">
        <is>
          <t>Ready for unified AVL</t>
        </is>
      </c>
      <c r="G107" s="15" t="inlineStr">
        <is>
          <t>Review the suggested preferred PN and publish one controlled AVL entry.</t>
        </is>
      </c>
    </row>
    <row r="108">
      <c r="A108" s="16" t="inlineStr">
        <is>
          <t>R_2.87kOhm_1%_0.0625W__0402</t>
        </is>
      </c>
      <c r="B108" s="16" t="inlineStr">
        <is>
          <t>10G212287114010</t>
        </is>
      </c>
      <c r="C108" s="16" t="n">
        <v>4</v>
      </c>
      <c r="D108" s="16" t="inlineStr">
        <is>
          <t>Res 2.87K Ohm 1, Yageo</t>
        </is>
      </c>
      <c r="E108" s="16" t="n">
        <v>4</v>
      </c>
      <c r="F108" s="16" t="inlineStr">
        <is>
          <t>Ready for unified AVL</t>
        </is>
      </c>
      <c r="G108" s="16" t="inlineStr">
        <is>
          <t>Review the suggested preferred PN and publish one controlled AVL entry.</t>
        </is>
      </c>
    </row>
    <row r="109">
      <c r="A109" s="15" t="inlineStr">
        <is>
          <t>R_20.5kOhm_1%_0.0625W__0402</t>
        </is>
      </c>
      <c r="B109" s="15" t="inlineStr">
        <is>
          <t>10G212205214010</t>
        </is>
      </c>
      <c r="C109" s="15" t="n">
        <v>4</v>
      </c>
      <c r="D109" s="15" t="inlineStr">
        <is>
          <t>Res 20.5K Ohm 1, Yageo</t>
        </is>
      </c>
      <c r="E109" s="15" t="n">
        <v>4</v>
      </c>
      <c r="F109" s="15" t="inlineStr">
        <is>
          <t>Ready for unified AVL</t>
        </is>
      </c>
      <c r="G109" s="15" t="inlineStr">
        <is>
          <t>Review the suggested preferred PN and publish one controlled AVL entry.</t>
        </is>
      </c>
    </row>
    <row r="110">
      <c r="A110" s="16" t="inlineStr">
        <is>
          <t>R_200Ohm_1%_0.0625W__0402</t>
        </is>
      </c>
      <c r="B110" s="16" t="inlineStr">
        <is>
          <t>10G212200014010</t>
        </is>
      </c>
      <c r="C110" s="16" t="n">
        <v>4</v>
      </c>
      <c r="D110" s="16" t="inlineStr">
        <is>
          <t>Res 200 Ohm 1, Yageo</t>
        </is>
      </c>
      <c r="E110" s="16" t="n">
        <v>12</v>
      </c>
      <c r="F110" s="16" t="inlineStr">
        <is>
          <t>Ready for unified AVL</t>
        </is>
      </c>
      <c r="G110" s="16" t="inlineStr">
        <is>
          <t>Review the suggested preferred PN and publish one controlled AVL entry.</t>
        </is>
      </c>
    </row>
    <row r="111">
      <c r="A111" s="15" t="inlineStr">
        <is>
          <t>R_200kOhm_1%_0.0625W__0402</t>
        </is>
      </c>
      <c r="B111" s="15" t="inlineStr">
        <is>
          <t>10G212200314010</t>
        </is>
      </c>
      <c r="C111" s="15" t="n">
        <v>4</v>
      </c>
      <c r="D111" s="15" t="inlineStr">
        <is>
          <t>Res 200K Ohm 1, Yageo</t>
        </is>
      </c>
      <c r="E111" s="15" t="n">
        <v>12</v>
      </c>
      <c r="F111" s="15" t="inlineStr">
        <is>
          <t>Ready for unified AVL</t>
        </is>
      </c>
      <c r="G111" s="15" t="inlineStr">
        <is>
          <t>Review the suggested preferred PN and publish one controlled AVL entry.</t>
        </is>
      </c>
    </row>
    <row r="112">
      <c r="A112" s="16" t="inlineStr">
        <is>
          <t>R_20kOhm_1%_0.0625W__0402</t>
        </is>
      </c>
      <c r="B112" s="16" t="inlineStr">
        <is>
          <t>10102-00811100</t>
        </is>
      </c>
      <c r="C112" s="16" t="n">
        <v>5</v>
      </c>
      <c r="D112" s="16" t="inlineStr">
        <is>
          <t>Res 20K Ohm 1, Yageo</t>
        </is>
      </c>
      <c r="E112" s="16" t="n">
        <v>45</v>
      </c>
      <c r="F112" s="16" t="inlineStr">
        <is>
          <t>Ready for unified AVL</t>
        </is>
      </c>
      <c r="G112" s="16" t="inlineStr">
        <is>
          <t>Review the suggested preferred PN and publish one controlled AVL entry.</t>
        </is>
      </c>
    </row>
    <row r="113">
      <c r="A113" s="15" t="inlineStr">
        <is>
          <t>R_22.1kOhm_1%_0.0625W__0402</t>
        </is>
      </c>
      <c r="B113" s="15" t="inlineStr">
        <is>
          <t>10G212221214010</t>
        </is>
      </c>
      <c r="C113" s="15" t="n">
        <v>4</v>
      </c>
      <c r="D113" s="15" t="inlineStr">
        <is>
          <t>Res 22.1K Ohm 1, Yageo</t>
        </is>
      </c>
      <c r="E113" s="15" t="n">
        <v>4</v>
      </c>
      <c r="F113" s="15" t="inlineStr">
        <is>
          <t>Ready for unified AVL</t>
        </is>
      </c>
      <c r="G113" s="15" t="inlineStr">
        <is>
          <t>Review the suggested preferred PN and publish one controlled AVL entry.</t>
        </is>
      </c>
    </row>
    <row r="114">
      <c r="A114" s="16" t="inlineStr">
        <is>
          <t>R_220kOhm_1%_0.0625W__0402</t>
        </is>
      </c>
      <c r="B114" s="16" t="inlineStr">
        <is>
          <t>10G212220314010</t>
        </is>
      </c>
      <c r="C114" s="16" t="n">
        <v>4</v>
      </c>
      <c r="D114" s="16" t="inlineStr">
        <is>
          <t>Res 220K Ohm 1, Yageo</t>
        </is>
      </c>
      <c r="E114" s="16" t="n">
        <v>16</v>
      </c>
      <c r="F114" s="16" t="inlineStr">
        <is>
          <t>Ready for unified AVL</t>
        </is>
      </c>
      <c r="G114" s="16" t="inlineStr">
        <is>
          <t>Review the suggested preferred PN and publish one controlled AVL entry.</t>
        </is>
      </c>
    </row>
    <row r="115">
      <c r="A115" s="15" t="inlineStr">
        <is>
          <t>R_22Ohm_1%_0.0625W__0402</t>
        </is>
      </c>
      <c r="B115" s="15" t="inlineStr">
        <is>
          <t>10G21222R014010</t>
        </is>
      </c>
      <c r="C115" s="15" t="n">
        <v>4</v>
      </c>
      <c r="D115" s="15" t="inlineStr">
        <is>
          <t>Res 22 Ohm 1, Yageo</t>
        </is>
      </c>
      <c r="E115" s="15" t="n">
        <v>20</v>
      </c>
      <c r="F115" s="15" t="inlineStr">
        <is>
          <t>Ready for unified AVL</t>
        </is>
      </c>
      <c r="G115" s="15" t="inlineStr">
        <is>
          <t>Review the suggested preferred PN and publish one controlled AVL entry.</t>
        </is>
      </c>
    </row>
    <row r="116">
      <c r="A116" s="16" t="inlineStr">
        <is>
          <t>R_22kOhm_1%_0.0625W__0402</t>
        </is>
      </c>
      <c r="B116" s="16" t="inlineStr">
        <is>
          <t>10G212220214010</t>
        </is>
      </c>
      <c r="C116" s="16" t="n">
        <v>4</v>
      </c>
      <c r="D116" s="16" t="inlineStr">
        <is>
          <t>Res 22K Ohm 1, Yageo</t>
        </is>
      </c>
      <c r="E116" s="16" t="n">
        <v>8</v>
      </c>
      <c r="F116" s="16" t="inlineStr">
        <is>
          <t>Ready for unified AVL</t>
        </is>
      </c>
      <c r="G116" s="16" t="inlineStr">
        <is>
          <t>Review the suggested preferred PN and publish one controlled AVL entry.</t>
        </is>
      </c>
    </row>
    <row r="117">
      <c r="A117" s="15" t="inlineStr">
        <is>
          <t>R_23.7kOhm_1%_0.0625W__0402</t>
        </is>
      </c>
      <c r="B117" s="15" t="inlineStr">
        <is>
          <t>10G212237214010</t>
        </is>
      </c>
      <c r="C117" s="15" t="n">
        <v>4</v>
      </c>
      <c r="D117" s="15" t="inlineStr">
        <is>
          <t>Res 23.7K Ohm 1, Yageo</t>
        </is>
      </c>
      <c r="E117" s="15" t="n">
        <v>4</v>
      </c>
      <c r="F117" s="15" t="inlineStr">
        <is>
          <t>Ready for unified AVL</t>
        </is>
      </c>
      <c r="G117" s="15" t="inlineStr">
        <is>
          <t>Review the suggested preferred PN and publish one controlled AVL entry.</t>
        </is>
      </c>
    </row>
    <row r="118">
      <c r="A118" s="16" t="inlineStr">
        <is>
          <t>R_24.9Ohm_1%_0.0625W__0402</t>
        </is>
      </c>
      <c r="B118" s="16" t="inlineStr">
        <is>
          <t>10G21224R914010</t>
        </is>
      </c>
      <c r="C118" s="16" t="n">
        <v>4</v>
      </c>
      <c r="D118" s="16" t="inlineStr">
        <is>
          <t>Res 24.9 Ohm 1, Yageo</t>
        </is>
      </c>
      <c r="E118" s="16" t="n">
        <v>8</v>
      </c>
      <c r="F118" s="16" t="inlineStr">
        <is>
          <t>Ready for unified AVL</t>
        </is>
      </c>
      <c r="G118" s="16" t="inlineStr">
        <is>
          <t>Review the suggested preferred PN and publish one controlled AVL entry.</t>
        </is>
      </c>
    </row>
    <row r="119">
      <c r="A119" s="15" t="inlineStr">
        <is>
          <t>R_25.5kOhm_1%_0.0625W__0402</t>
        </is>
      </c>
      <c r="B119" s="15" t="inlineStr">
        <is>
          <t>10G212255214010</t>
        </is>
      </c>
      <c r="C119" s="15" t="n">
        <v>4</v>
      </c>
      <c r="D119" s="15" t="inlineStr">
        <is>
          <t>Res 25.5K Ohm 1, Yageo</t>
        </is>
      </c>
      <c r="E119" s="15" t="n">
        <v>8</v>
      </c>
      <c r="F119" s="15" t="inlineStr">
        <is>
          <t>Ready for unified AVL</t>
        </is>
      </c>
      <c r="G119" s="15" t="inlineStr">
        <is>
          <t>Review the suggested preferred PN and publish one controlled AVL entry.</t>
        </is>
      </c>
    </row>
    <row r="120">
      <c r="A120" s="16" t="inlineStr">
        <is>
          <t>R_27kOhm_1%_0.0625W__0402</t>
        </is>
      </c>
      <c r="B120" s="16" t="inlineStr">
        <is>
          <t>10G212270214010</t>
        </is>
      </c>
      <c r="C120" s="16" t="n">
        <v>4</v>
      </c>
      <c r="D120" s="16" t="inlineStr">
        <is>
          <t>Yageo, Res 27K Ohm 1</t>
        </is>
      </c>
      <c r="E120" s="16" t="n">
        <v>4</v>
      </c>
      <c r="F120" s="16" t="inlineStr">
        <is>
          <t>Ready for unified AVL</t>
        </is>
      </c>
      <c r="G120" s="16" t="inlineStr">
        <is>
          <t>Review the suggested preferred PN and publish one controlled AVL entry.</t>
        </is>
      </c>
    </row>
    <row r="121">
      <c r="A121" s="15" t="inlineStr">
        <is>
          <t>R_2MOhm_1%_0.0625W__0402</t>
        </is>
      </c>
      <c r="B121" s="15" t="inlineStr">
        <is>
          <t>10G212200414010</t>
        </is>
      </c>
      <c r="C121" s="15" t="n">
        <v>4</v>
      </c>
      <c r="D121" s="15" t="inlineStr">
        <is>
          <t>Res 2M Ohm 1, Yageo</t>
        </is>
      </c>
      <c r="E121" s="15" t="n">
        <v>8</v>
      </c>
      <c r="F121" s="15" t="inlineStr">
        <is>
          <t>Ready for unified AVL</t>
        </is>
      </c>
      <c r="G121" s="15" t="inlineStr">
        <is>
          <t>Review the suggested preferred PN and publish one controlled AVL entry.</t>
        </is>
      </c>
    </row>
    <row r="122">
      <c r="A122" s="16" t="inlineStr">
        <is>
          <t>R_2Ohm_1%_0.0625W__0402</t>
        </is>
      </c>
      <c r="B122" s="16" t="inlineStr">
        <is>
          <t>10G2122R0014010</t>
        </is>
      </c>
      <c r="C122" s="16" t="n">
        <v>4</v>
      </c>
      <c r="D122" s="16" t="inlineStr">
        <is>
          <t>Res 2 Ohm 1, Yageo</t>
        </is>
      </c>
      <c r="E122" s="16" t="n">
        <v>8</v>
      </c>
      <c r="F122" s="16" t="inlineStr">
        <is>
          <t>Ready for unified AVL</t>
        </is>
      </c>
      <c r="G122" s="16" t="inlineStr">
        <is>
          <t>Review the suggested preferred PN and publish one controlled AVL entry.</t>
        </is>
      </c>
    </row>
    <row r="123">
      <c r="A123" s="15" t="inlineStr">
        <is>
          <t>R_3.01kOhm_1%_0.0625W__0402</t>
        </is>
      </c>
      <c r="B123" s="15" t="inlineStr">
        <is>
          <t>10G212301114010</t>
        </is>
      </c>
      <c r="C123" s="15" t="n">
        <v>4</v>
      </c>
      <c r="D123" s="15" t="inlineStr">
        <is>
          <t>Yageo, Res 3.01K Ohm 1</t>
        </is>
      </c>
      <c r="E123" s="15" t="n">
        <v>4</v>
      </c>
      <c r="F123" s="15" t="inlineStr">
        <is>
          <t>Ready for unified AVL</t>
        </is>
      </c>
      <c r="G123" s="15" t="inlineStr">
        <is>
          <t>Review the suggested preferred PN and publish one controlled AVL entry.</t>
        </is>
      </c>
    </row>
    <row r="124">
      <c r="A124" s="16" t="inlineStr">
        <is>
          <t>R_3.24kOhm_1%_0.0625W__0402</t>
        </is>
      </c>
      <c r="B124" s="16" t="inlineStr">
        <is>
          <t>10G212324114010</t>
        </is>
      </c>
      <c r="C124" s="16" t="n">
        <v>4</v>
      </c>
      <c r="D124" s="16" t="inlineStr">
        <is>
          <t>Res 3.24K Ohm 1, Yageo</t>
        </is>
      </c>
      <c r="E124" s="16" t="n">
        <v>4</v>
      </c>
      <c r="F124" s="16" t="inlineStr">
        <is>
          <t>Ready for unified AVL</t>
        </is>
      </c>
      <c r="G124" s="16" t="inlineStr">
        <is>
          <t>Review the suggested preferred PN and publish one controlled AVL entry.</t>
        </is>
      </c>
    </row>
    <row r="125">
      <c r="A125" s="15" t="inlineStr">
        <is>
          <t>R_3.9Ohm_1%_0.0625W__0402</t>
        </is>
      </c>
      <c r="B125" s="15" t="inlineStr">
        <is>
          <t>10G2123R9014010</t>
        </is>
      </c>
      <c r="C125" s="15" t="n">
        <v>3</v>
      </c>
      <c r="D125" s="15" t="inlineStr">
        <is>
          <t>Res 3.9 Ohm 1</t>
        </is>
      </c>
      <c r="E125" s="15" t="n">
        <v>3</v>
      </c>
      <c r="F125" s="15" t="inlineStr">
        <is>
          <t>Single-source gap</t>
        </is>
      </c>
      <c r="G125" s="15" t="inlineStr">
        <is>
          <t>Source and qualify at least one alternate manufacturer.</t>
        </is>
      </c>
    </row>
    <row r="126">
      <c r="A126" s="16" t="inlineStr">
        <is>
          <t>R_30.9kOhm_1%_0.0625W__0402</t>
        </is>
      </c>
      <c r="B126" s="16" t="inlineStr">
        <is>
          <t>10G212309214010</t>
        </is>
      </c>
      <c r="C126" s="16" t="n">
        <v>4</v>
      </c>
      <c r="D126" s="16" t="inlineStr">
        <is>
          <t>Res 30.9K Ohm 1, Yageo</t>
        </is>
      </c>
      <c r="E126" s="16" t="n">
        <v>4</v>
      </c>
      <c r="F126" s="16" t="inlineStr">
        <is>
          <t>Ready for unified AVL</t>
        </is>
      </c>
      <c r="G126" s="16" t="inlineStr">
        <is>
          <t>Review the suggested preferred PN and publish one controlled AVL entry.</t>
        </is>
      </c>
    </row>
    <row r="127">
      <c r="A127" s="15" t="inlineStr">
        <is>
          <t>R_30kOhm_1%_0.0625W__0402</t>
        </is>
      </c>
      <c r="B127" s="15" t="inlineStr">
        <is>
          <t>10G212300214010</t>
        </is>
      </c>
      <c r="C127" s="15" t="n">
        <v>4</v>
      </c>
      <c r="D127" s="15" t="inlineStr">
        <is>
          <t>Res 30K Ohm 1, Yageo</t>
        </is>
      </c>
      <c r="E127" s="15" t="n">
        <v>4</v>
      </c>
      <c r="F127" s="15" t="inlineStr">
        <is>
          <t>Ready for unified AVL</t>
        </is>
      </c>
      <c r="G127" s="15" t="inlineStr">
        <is>
          <t>Review the suggested preferred PN and publish one controlled AVL entry.</t>
        </is>
      </c>
    </row>
    <row r="128">
      <c r="A128" s="16" t="inlineStr">
        <is>
          <t>R_324kOhm_1%_0.0625W__0402</t>
        </is>
      </c>
      <c r="B128" s="16" t="inlineStr">
        <is>
          <t>10G212324314010</t>
        </is>
      </c>
      <c r="C128" s="16" t="n">
        <v>3</v>
      </c>
      <c r="D128" s="16" t="inlineStr">
        <is>
          <t>Res 324K Ohm 1, Yageo</t>
        </is>
      </c>
      <c r="E128" s="16" t="n">
        <v>3</v>
      </c>
      <c r="F128" s="16" t="inlineStr">
        <is>
          <t>Ready for unified AVL</t>
        </is>
      </c>
      <c r="G128" s="16" t="inlineStr">
        <is>
          <t>Review the suggested preferred PN and publish one controlled AVL entry.</t>
        </is>
      </c>
    </row>
    <row r="129">
      <c r="A129" s="15" t="inlineStr">
        <is>
          <t>R_330Ohm_1%_0.0625W__0402</t>
        </is>
      </c>
      <c r="B129" s="15" t="inlineStr">
        <is>
          <t>10G212330014010</t>
        </is>
      </c>
      <c r="C129" s="15" t="n">
        <v>4</v>
      </c>
      <c r="D129" s="15" t="inlineStr">
        <is>
          <t>Res 330 Ohm 1, Yageo</t>
        </is>
      </c>
      <c r="E129" s="15" t="n">
        <v>4</v>
      </c>
      <c r="F129" s="15" t="inlineStr">
        <is>
          <t>Ready for unified AVL</t>
        </is>
      </c>
      <c r="G129" s="15" t="inlineStr">
        <is>
          <t>Review the suggested preferred PN and publish one controlled AVL entry.</t>
        </is>
      </c>
    </row>
    <row r="130">
      <c r="A130" s="16" t="inlineStr">
        <is>
          <t>R_330Ohm_1%_0.1W__0603</t>
        </is>
      </c>
      <c r="B130" s="16" t="inlineStr">
        <is>
          <t>10G213330013010</t>
        </is>
      </c>
      <c r="C130" s="16" t="n">
        <v>4</v>
      </c>
      <c r="D130" s="16" t="inlineStr">
        <is>
          <t>Yageo, Res 330 Ohm 1</t>
        </is>
      </c>
      <c r="E130" s="16" t="n">
        <v>40</v>
      </c>
      <c r="F130" s="16" t="inlineStr">
        <is>
          <t>Ready for unified AVL</t>
        </is>
      </c>
      <c r="G130" s="16" t="inlineStr">
        <is>
          <t>Review the suggested preferred PN and publish one controlled AVL entry.</t>
        </is>
      </c>
    </row>
    <row r="131">
      <c r="A131" s="15" t="inlineStr">
        <is>
          <t>R_33Ohm_1%_0.0625W__0402</t>
        </is>
      </c>
      <c r="B131" s="15" t="inlineStr">
        <is>
          <t>10G21233R014010</t>
        </is>
      </c>
      <c r="C131" s="15" t="n">
        <v>4</v>
      </c>
      <c r="D131" s="15" t="inlineStr">
        <is>
          <t>Res 33 Ohm 1, Yageo</t>
        </is>
      </c>
      <c r="E131" s="15" t="n">
        <v>40</v>
      </c>
      <c r="F131" s="15" t="inlineStr">
        <is>
          <t>Ready for unified AVL</t>
        </is>
      </c>
      <c r="G131" s="15" t="inlineStr">
        <is>
          <t>Review the suggested preferred PN and publish one controlled AVL entry.</t>
        </is>
      </c>
    </row>
    <row r="132">
      <c r="A132" s="16" t="inlineStr">
        <is>
          <t>R_35.7kOhm_1%_0.0625W__0402</t>
        </is>
      </c>
      <c r="B132" s="16" t="inlineStr">
        <is>
          <t>10G212357214010</t>
        </is>
      </c>
      <c r="C132" s="16" t="n">
        <v>4</v>
      </c>
      <c r="D132" s="16" t="inlineStr">
        <is>
          <t>Yageo, Res 35.7K Ohm 1</t>
        </is>
      </c>
      <c r="E132" s="16" t="n">
        <v>4</v>
      </c>
      <c r="F132" s="16" t="inlineStr">
        <is>
          <t>Ready for unified AVL</t>
        </is>
      </c>
      <c r="G132" s="16" t="inlineStr">
        <is>
          <t>Review the suggested preferred PN and publish one controlled AVL entry.</t>
        </is>
      </c>
    </row>
    <row r="133">
      <c r="A133" s="15" t="inlineStr">
        <is>
          <t>R_39.2kOhm_1%_0.0625W__0402</t>
        </is>
      </c>
      <c r="B133" s="15" t="inlineStr">
        <is>
          <t>10G212392214010</t>
        </is>
      </c>
      <c r="C133" s="15" t="n">
        <v>4</v>
      </c>
      <c r="D133" s="15" t="inlineStr">
        <is>
          <t>Res 39.2K Ohm 1, Yageo</t>
        </is>
      </c>
      <c r="E133" s="15" t="n">
        <v>4</v>
      </c>
      <c r="F133" s="15" t="inlineStr">
        <is>
          <t>Ready for unified AVL</t>
        </is>
      </c>
      <c r="G133" s="15" t="inlineStr">
        <is>
          <t>Review the suggested preferred PN and publish one controlled AVL entry.</t>
        </is>
      </c>
    </row>
    <row r="134">
      <c r="A134" s="16" t="inlineStr">
        <is>
          <t>R_39Ohm_1%_0.0625W__0402</t>
        </is>
      </c>
      <c r="B134" s="16" t="inlineStr">
        <is>
          <t>10G21239R014010</t>
        </is>
      </c>
      <c r="C134" s="16" t="n">
        <v>4</v>
      </c>
      <c r="D134" s="16" t="inlineStr">
        <is>
          <t>Res 39 Ohm 1, Yageo</t>
        </is>
      </c>
      <c r="E134" s="16" t="n">
        <v>8</v>
      </c>
      <c r="F134" s="16" t="inlineStr">
        <is>
          <t>Ready for unified AVL</t>
        </is>
      </c>
      <c r="G134" s="16" t="inlineStr">
        <is>
          <t>Review the suggested preferred PN and publish one controlled AVL entry.</t>
        </is>
      </c>
    </row>
    <row r="135">
      <c r="A135" s="15" t="inlineStr">
        <is>
          <t>R_4.12kOhm_1%_0.0625W__0402</t>
        </is>
      </c>
      <c r="B135" s="15" t="inlineStr">
        <is>
          <t>10G212412114010</t>
        </is>
      </c>
      <c r="C135" s="15" t="n">
        <v>4</v>
      </c>
      <c r="D135" s="15" t="inlineStr">
        <is>
          <t>Res 4.12K Ohm 1, Yageo</t>
        </is>
      </c>
      <c r="E135" s="15" t="n">
        <v>4</v>
      </c>
      <c r="F135" s="15" t="inlineStr">
        <is>
          <t>Ready for unified AVL</t>
        </is>
      </c>
      <c r="G135" s="15" t="inlineStr">
        <is>
          <t>Review the suggested preferred PN and publish one controlled AVL entry.</t>
        </is>
      </c>
    </row>
    <row r="136">
      <c r="A136" s="16" t="inlineStr">
        <is>
          <t>R_4.7Ohm_5%_0.0625W__0402</t>
        </is>
      </c>
      <c r="B136" s="16" t="inlineStr">
        <is>
          <t>10G2124R7004010</t>
        </is>
      </c>
      <c r="C136" s="16" t="n">
        <v>4</v>
      </c>
      <c r="D136" s="16" t="inlineStr">
        <is>
          <t>Res 4.7 Ohm 1, Yageo</t>
        </is>
      </c>
      <c r="E136" s="16" t="n">
        <v>4</v>
      </c>
      <c r="F136" s="16" t="inlineStr">
        <is>
          <t>Ready for unified AVL</t>
        </is>
      </c>
      <c r="G136" s="16" t="inlineStr">
        <is>
          <t>Review the suggested preferred PN and publish one controlled AVL entry.</t>
        </is>
      </c>
    </row>
    <row r="137">
      <c r="A137" s="15" t="inlineStr">
        <is>
          <t>R_4.7Ohm_5%_0.1W__0603</t>
        </is>
      </c>
      <c r="B137" s="15" t="inlineStr">
        <is>
          <t>10G2134R7003010</t>
        </is>
      </c>
      <c r="C137" s="15" t="n">
        <v>4</v>
      </c>
      <c r="D137" s="15" t="inlineStr">
        <is>
          <t>Res 4.7 Ohm 1, Yageo</t>
        </is>
      </c>
      <c r="E137" s="15" t="n">
        <v>32</v>
      </c>
      <c r="F137" s="15" t="inlineStr">
        <is>
          <t>Ready for unified AVL</t>
        </is>
      </c>
      <c r="G137" s="15" t="inlineStr">
        <is>
          <t>Review the suggested preferred PN and publish one controlled AVL entry.</t>
        </is>
      </c>
    </row>
    <row r="138">
      <c r="A138" s="16" t="inlineStr">
        <is>
          <t>R_4.7kOhm_1%_0.0625W__0402</t>
        </is>
      </c>
      <c r="B138" s="16" t="inlineStr">
        <is>
          <t>10G212470114010</t>
        </is>
      </c>
      <c r="C138" s="16" t="n">
        <v>4</v>
      </c>
      <c r="D138" s="16" t="inlineStr">
        <is>
          <t>Res 4.7K Ohm 1, Yageo</t>
        </is>
      </c>
      <c r="E138" s="16" t="n">
        <v>72</v>
      </c>
      <c r="F138" s="16" t="inlineStr">
        <is>
          <t>Ready for unified AVL</t>
        </is>
      </c>
      <c r="G138" s="16" t="inlineStr">
        <is>
          <t>Review the suggested preferred PN and publish one controlled AVL entry.</t>
        </is>
      </c>
    </row>
    <row r="139">
      <c r="A139" s="15" t="inlineStr">
        <is>
          <t>R_4.99kOhm_1%_0.0625W__0402</t>
        </is>
      </c>
      <c r="B139" s="15" t="inlineStr">
        <is>
          <t>10G212499114010</t>
        </is>
      </c>
      <c r="C139" s="15" t="n">
        <v>4</v>
      </c>
      <c r="D139" s="15" t="inlineStr">
        <is>
          <t>Res 4.99K Ohm 1, Yageo</t>
        </is>
      </c>
      <c r="E139" s="15" t="n">
        <v>4</v>
      </c>
      <c r="F139" s="15" t="inlineStr">
        <is>
          <t>Ready for unified AVL</t>
        </is>
      </c>
      <c r="G139" s="15" t="inlineStr">
        <is>
          <t>Review the suggested preferred PN and publish one controlled AVL entry.</t>
        </is>
      </c>
    </row>
    <row r="140">
      <c r="A140" s="16" t="inlineStr">
        <is>
          <t>R_40.2kOhm_1%_0.0625W__0402</t>
        </is>
      </c>
      <c r="B140" s="16" t="inlineStr">
        <is>
          <t>10G212402214010</t>
        </is>
      </c>
      <c r="C140" s="16" t="n">
        <v>4</v>
      </c>
      <c r="D140" s="16" t="inlineStr">
        <is>
          <t>Res 40.2K Ohm 1, Yageo</t>
        </is>
      </c>
      <c r="E140" s="16" t="n">
        <v>8</v>
      </c>
      <c r="F140" s="16" t="inlineStr">
        <is>
          <t>Ready for unified AVL</t>
        </is>
      </c>
      <c r="G140" s="16" t="inlineStr">
        <is>
          <t>Review the suggested preferred PN and publish one controlled AVL entry.</t>
        </is>
      </c>
    </row>
    <row r="141">
      <c r="A141" s="15" t="inlineStr">
        <is>
          <t>R_402Ohm_1%_0.0625W__0402</t>
        </is>
      </c>
      <c r="B141" s="15" t="inlineStr">
        <is>
          <t>10G212402014010</t>
        </is>
      </c>
      <c r="C141" s="15" t="n">
        <v>4</v>
      </c>
      <c r="D141" s="15" t="inlineStr">
        <is>
          <t>Res 402 Ohm 1, Yageo</t>
        </is>
      </c>
      <c r="E141" s="15" t="n">
        <v>8</v>
      </c>
      <c r="F141" s="15" t="inlineStr">
        <is>
          <t>Ready for unified AVL</t>
        </is>
      </c>
      <c r="G141" s="15" t="inlineStr">
        <is>
          <t>Review the suggested preferred PN and publish one controlled AVL entry.</t>
        </is>
      </c>
    </row>
    <row r="142">
      <c r="A142" s="16" t="inlineStr">
        <is>
          <t>R_402kOhm_1%_0.0625W__0402</t>
        </is>
      </c>
      <c r="B142" s="16" t="inlineStr">
        <is>
          <t>10G212402314010</t>
        </is>
      </c>
      <c r="C142" s="16" t="n">
        <v>4</v>
      </c>
      <c r="D142" s="16" t="inlineStr">
        <is>
          <t>Yageo, Res 402K Ohm 1</t>
        </is>
      </c>
      <c r="E142" s="16" t="n">
        <v>4</v>
      </c>
      <c r="F142" s="16" t="inlineStr">
        <is>
          <t>Ready for unified AVL</t>
        </is>
      </c>
      <c r="G142" s="16" t="inlineStr">
        <is>
          <t>Review the suggested preferred PN and publish one controlled AVL entry.</t>
        </is>
      </c>
    </row>
    <row r="143">
      <c r="A143" s="15" t="inlineStr">
        <is>
          <t>R_41.2kOhm_1%_0.0625W__0402</t>
        </is>
      </c>
      <c r="B143" s="15" t="inlineStr">
        <is>
          <t>10G212412214010</t>
        </is>
      </c>
      <c r="C143" s="15" t="n">
        <v>4</v>
      </c>
      <c r="D143" s="15" t="inlineStr">
        <is>
          <t>Res 41.2K Ohm 1, Yageo</t>
        </is>
      </c>
      <c r="E143" s="15" t="n">
        <v>8</v>
      </c>
      <c r="F143" s="15" t="inlineStr">
        <is>
          <t>Ready for unified AVL</t>
        </is>
      </c>
      <c r="G143" s="15" t="inlineStr">
        <is>
          <t>Review the suggested preferred PN and publish one controlled AVL entry.</t>
        </is>
      </c>
    </row>
    <row r="144">
      <c r="A144" s="16" t="inlineStr">
        <is>
          <t>R_43.2kOhm_1%_0.0625W__0402</t>
        </is>
      </c>
      <c r="B144" s="16" t="inlineStr">
        <is>
          <t>10G212432214010</t>
        </is>
      </c>
      <c r="C144" s="16" t="n">
        <v>4</v>
      </c>
      <c r="D144" s="16" t="inlineStr">
        <is>
          <t>Res 43.2K Ohm 1, Yageo</t>
        </is>
      </c>
      <c r="E144" s="16" t="n">
        <v>4</v>
      </c>
      <c r="F144" s="16" t="inlineStr">
        <is>
          <t>Ready for unified AVL</t>
        </is>
      </c>
      <c r="G144" s="16" t="inlineStr">
        <is>
          <t>Review the suggested preferred PN and publish one controlled AVL entry.</t>
        </is>
      </c>
    </row>
    <row r="145">
      <c r="A145" s="15" t="inlineStr">
        <is>
          <t>R_45.3Ohm_1%_0.0625W__0402</t>
        </is>
      </c>
      <c r="B145" s="15" t="inlineStr">
        <is>
          <t>10G21245R314010</t>
        </is>
      </c>
      <c r="C145" s="15" t="n">
        <v>4</v>
      </c>
      <c r="D145" s="15" t="inlineStr">
        <is>
          <t>Res 45.3 Ohm 1, Yageo</t>
        </is>
      </c>
      <c r="E145" s="15" t="n">
        <v>4</v>
      </c>
      <c r="F145" s="15" t="inlineStr">
        <is>
          <t>Ready for unified AVL</t>
        </is>
      </c>
      <c r="G145" s="15" t="inlineStr">
        <is>
          <t>Review the suggested preferred PN and publish one controlled AVL entry.</t>
        </is>
      </c>
    </row>
    <row r="146">
      <c r="A146" s="16" t="inlineStr">
        <is>
          <t>R_470Ohm_1%_0.0625W__0402</t>
        </is>
      </c>
      <c r="B146" s="16" t="inlineStr">
        <is>
          <t>10G212470014010</t>
        </is>
      </c>
      <c r="C146" s="16" t="n">
        <v>4</v>
      </c>
      <c r="D146" s="16" t="inlineStr">
        <is>
          <t>Res 470 Ohm 1, Yageo</t>
        </is>
      </c>
      <c r="E146" s="16" t="n">
        <v>4</v>
      </c>
      <c r="F146" s="16" t="inlineStr">
        <is>
          <t>Ready for unified AVL</t>
        </is>
      </c>
      <c r="G146" s="16" t="inlineStr">
        <is>
          <t>Review the suggested preferred PN and publish one controlled AVL entry.</t>
        </is>
      </c>
    </row>
    <row r="147">
      <c r="A147" s="15" t="inlineStr">
        <is>
          <t>R_470kOhm_1%_0.0625W__0402</t>
        </is>
      </c>
      <c r="B147" s="15" t="inlineStr">
        <is>
          <t>10G212470314010</t>
        </is>
      </c>
      <c r="C147" s="15" t="n">
        <v>4</v>
      </c>
      <c r="D147" s="15" t="inlineStr">
        <is>
          <t>Res 470K Ohm 1, Yageo</t>
        </is>
      </c>
      <c r="E147" s="15" t="n">
        <v>8</v>
      </c>
      <c r="F147" s="15" t="inlineStr">
        <is>
          <t>Ready for unified AVL</t>
        </is>
      </c>
      <c r="G147" s="15" t="inlineStr">
        <is>
          <t>Review the suggested preferred PN and publish one controlled AVL entry.</t>
        </is>
      </c>
    </row>
    <row r="148">
      <c r="A148" s="16" t="inlineStr">
        <is>
          <t>R_47kOhm_1%_0.0625W__0402</t>
        </is>
      </c>
      <c r="B148" s="16" t="inlineStr">
        <is>
          <t>10G212470214010</t>
        </is>
      </c>
      <c r="C148" s="16" t="n">
        <v>4</v>
      </c>
      <c r="D148" s="16" t="inlineStr">
        <is>
          <t>Res 47K Ohm 1, Yageo</t>
        </is>
      </c>
      <c r="E148" s="16" t="n">
        <v>4</v>
      </c>
      <c r="F148" s="16" t="inlineStr">
        <is>
          <t>Ready for unified AVL</t>
        </is>
      </c>
      <c r="G148" s="16" t="inlineStr">
        <is>
          <t>Review the suggested preferred PN and publish one controlled AVL entry.</t>
        </is>
      </c>
    </row>
    <row r="149">
      <c r="A149" s="15" t="inlineStr">
        <is>
          <t>R_49.9Ohm_1%_0.0625W__0402</t>
        </is>
      </c>
      <c r="B149" s="15" t="inlineStr">
        <is>
          <t>10G21249R914010</t>
        </is>
      </c>
      <c r="C149" s="15" t="n">
        <v>4</v>
      </c>
      <c r="D149" s="15" t="inlineStr">
        <is>
          <t>Res 49.9 Ohm 1, Yageo</t>
        </is>
      </c>
      <c r="E149" s="15" t="n">
        <v>32</v>
      </c>
      <c r="F149" s="15" t="inlineStr">
        <is>
          <t>Ready for unified AVL</t>
        </is>
      </c>
      <c r="G149" s="15" t="inlineStr">
        <is>
          <t>Review the suggested preferred PN and publish one controlled AVL entry.</t>
        </is>
      </c>
    </row>
    <row r="150">
      <c r="A150" s="16" t="inlineStr">
        <is>
          <t>R_49.9kOhm_1%_0.0625W__0402</t>
        </is>
      </c>
      <c r="B150" s="16" t="inlineStr">
        <is>
          <t>10G212499214010</t>
        </is>
      </c>
      <c r="C150" s="16" t="n">
        <v>4</v>
      </c>
      <c r="D150" s="16" t="inlineStr">
        <is>
          <t>Res 49.9K Ohm 1, Yageo</t>
        </is>
      </c>
      <c r="E150" s="16" t="n">
        <v>4</v>
      </c>
      <c r="F150" s="16" t="inlineStr">
        <is>
          <t>Ready for unified AVL</t>
        </is>
      </c>
      <c r="G150" s="16" t="inlineStr">
        <is>
          <t>Review the suggested preferred PN and publish one controlled AVL entry.</t>
        </is>
      </c>
    </row>
    <row r="151">
      <c r="A151" s="15" t="inlineStr">
        <is>
          <t>R_499Ohm_1%_0.0625W__0402</t>
        </is>
      </c>
      <c r="B151" s="15" t="inlineStr">
        <is>
          <t>10G212499014010</t>
        </is>
      </c>
      <c r="C151" s="15" t="n">
        <v>4</v>
      </c>
      <c r="D151" s="15" t="inlineStr">
        <is>
          <t>Res 499 Ohm 1, Yageo</t>
        </is>
      </c>
      <c r="E151" s="15" t="n">
        <v>4</v>
      </c>
      <c r="F151" s="15" t="inlineStr">
        <is>
          <t>Ready for unified AVL</t>
        </is>
      </c>
      <c r="G151" s="15" t="inlineStr">
        <is>
          <t>Review the suggested preferred PN and publish one controlled AVL entry.</t>
        </is>
      </c>
    </row>
    <row r="152">
      <c r="A152" s="16" t="inlineStr">
        <is>
          <t>R_5.1Ohm_1%_0.1W__0603</t>
        </is>
      </c>
      <c r="B152" s="16" t="inlineStr">
        <is>
          <t>10G2135R1013010</t>
        </is>
      </c>
      <c r="C152" s="16" t="n">
        <v>4</v>
      </c>
      <c r="D152" s="16" t="inlineStr">
        <is>
          <t>Res 5.1 Ohm 1, Yageo</t>
        </is>
      </c>
      <c r="E152" s="16" t="n">
        <v>8</v>
      </c>
      <c r="F152" s="16" t="inlineStr">
        <is>
          <t>Ready for unified AVL</t>
        </is>
      </c>
      <c r="G152" s="16" t="inlineStr">
        <is>
          <t>Review the suggested preferred PN and publish one controlled AVL entry.</t>
        </is>
      </c>
    </row>
    <row r="153">
      <c r="A153" s="15" t="inlineStr">
        <is>
          <t>R_51Ohm_1%_0.0625W__0402</t>
        </is>
      </c>
      <c r="B153" s="15" t="inlineStr">
        <is>
          <t>10G21251R014080</t>
        </is>
      </c>
      <c r="C153" s="15" t="n">
        <v>1</v>
      </c>
      <c r="D153" s="15" t="inlineStr">
        <is>
          <t>Res 51 Ohm 1</t>
        </is>
      </c>
      <c r="E153" s="15" t="n">
        <v>1</v>
      </c>
      <c r="F153" s="15" t="inlineStr">
        <is>
          <t>Single-source gap</t>
        </is>
      </c>
      <c r="G153" s="15" t="inlineStr">
        <is>
          <t>Source and qualify at least one alternate manufacturer.</t>
        </is>
      </c>
    </row>
    <row r="154">
      <c r="A154" s="16" t="inlineStr">
        <is>
          <t>R_51kOhm_5%_0.0625W__0402</t>
        </is>
      </c>
      <c r="B154" s="16" t="inlineStr">
        <is>
          <t>10G212513004010</t>
        </is>
      </c>
      <c r="C154" s="16" t="n">
        <v>4</v>
      </c>
      <c r="D154" s="16" t="inlineStr">
        <is>
          <t>Yageo, Res 51K Ohm 1</t>
        </is>
      </c>
      <c r="E154" s="16" t="n">
        <v>8</v>
      </c>
      <c r="F154" s="16" t="inlineStr">
        <is>
          <t>Ready for unified AVL</t>
        </is>
      </c>
      <c r="G154" s="16" t="inlineStr">
        <is>
          <t>Review the suggested preferred PN and publish one controlled AVL entry.</t>
        </is>
      </c>
    </row>
    <row r="155">
      <c r="A155" s="15" t="inlineStr">
        <is>
          <t>R_54.9kOhm_1%_0.0625W__0402</t>
        </is>
      </c>
      <c r="B155" s="15" t="inlineStr">
        <is>
          <t>10102-03025000</t>
        </is>
      </c>
      <c r="C155" s="15" t="n">
        <v>4</v>
      </c>
      <c r="D155" s="15" t="inlineStr">
        <is>
          <t>Res 54.9K Ohm 1, Yageo</t>
        </is>
      </c>
      <c r="E155" s="15" t="n">
        <v>12</v>
      </c>
      <c r="F155" s="15" t="inlineStr">
        <is>
          <t>Ready for unified AVL</t>
        </is>
      </c>
      <c r="G155" s="15" t="inlineStr">
        <is>
          <t>Review the suggested preferred PN and publish one controlled AVL entry.</t>
        </is>
      </c>
    </row>
    <row r="156">
      <c r="A156" s="16" t="inlineStr">
        <is>
          <t>R_56Ohm_5%_0.0625W__0402</t>
        </is>
      </c>
      <c r="B156" s="16" t="inlineStr">
        <is>
          <t>10G212560004010</t>
        </is>
      </c>
      <c r="C156" s="16" t="n">
        <v>4</v>
      </c>
      <c r="D156" s="16" t="inlineStr">
        <is>
          <t>Res 56 Ohm 1, Yageo</t>
        </is>
      </c>
      <c r="E156" s="16" t="n">
        <v>4</v>
      </c>
      <c r="F156" s="16" t="inlineStr">
        <is>
          <t>Ready for unified AVL</t>
        </is>
      </c>
      <c r="G156" s="16" t="inlineStr">
        <is>
          <t>Review the suggested preferred PN and publish one controlled AVL entry.</t>
        </is>
      </c>
    </row>
    <row r="157">
      <c r="A157" s="15" t="inlineStr">
        <is>
          <t>R_6.49kOhm_1%_0.0625W__0402</t>
        </is>
      </c>
      <c r="B157" s="15" t="inlineStr">
        <is>
          <t>10G212649114010</t>
        </is>
      </c>
      <c r="C157" s="15" t="n">
        <v>4</v>
      </c>
      <c r="D157" s="15" t="inlineStr">
        <is>
          <t>Res 6.49K Ohm 1, Yageo</t>
        </is>
      </c>
      <c r="E157" s="15" t="n">
        <v>4</v>
      </c>
      <c r="F157" s="15" t="inlineStr">
        <is>
          <t>Ready for unified AVL</t>
        </is>
      </c>
      <c r="G157" s="15" t="inlineStr">
        <is>
          <t>Review the suggested preferred PN and publish one controlled AVL entry.</t>
        </is>
      </c>
    </row>
    <row r="158">
      <c r="A158" s="16" t="inlineStr">
        <is>
          <t>R_6.8kOhm_1%_0.0625W__0402</t>
        </is>
      </c>
      <c r="B158" s="16" t="inlineStr">
        <is>
          <t>10G212680114010</t>
        </is>
      </c>
      <c r="C158" s="16" t="n">
        <v>4</v>
      </c>
      <c r="D158" s="16" t="inlineStr">
        <is>
          <t>Res 6.8K Ohm 1, Yageo</t>
        </is>
      </c>
      <c r="E158" s="16" t="n">
        <v>16</v>
      </c>
      <c r="F158" s="16" t="inlineStr">
        <is>
          <t>Ready for unified AVL</t>
        </is>
      </c>
      <c r="G158" s="16" t="inlineStr">
        <is>
          <t>Review the suggested preferred PN and publish one controlled AVL entry.</t>
        </is>
      </c>
    </row>
    <row r="159">
      <c r="A159" s="15" t="inlineStr">
        <is>
          <t>R_60.4Ohm_1%_0.0625W__0402</t>
        </is>
      </c>
      <c r="B159" s="15" t="inlineStr">
        <is>
          <t>10G21260R414010</t>
        </is>
      </c>
      <c r="C159" s="15" t="n">
        <v>4</v>
      </c>
      <c r="D159" s="15" t="inlineStr">
        <is>
          <t>Res 60.4 Ohm 1, Yageo</t>
        </is>
      </c>
      <c r="E159" s="15" t="n">
        <v>4</v>
      </c>
      <c r="F159" s="15" t="inlineStr">
        <is>
          <t>Ready for unified AVL</t>
        </is>
      </c>
      <c r="G159" s="15" t="inlineStr">
        <is>
          <t>Review the suggested preferred PN and publish one controlled AVL entry.</t>
        </is>
      </c>
    </row>
    <row r="160">
      <c r="A160" s="16" t="inlineStr">
        <is>
          <t>R_604Ohm_1%_0.0625W__0402</t>
        </is>
      </c>
      <c r="B160" s="16" t="inlineStr">
        <is>
          <t>10G212604014010</t>
        </is>
      </c>
      <c r="C160" s="16" t="n">
        <v>4</v>
      </c>
      <c r="D160" s="16" t="inlineStr">
        <is>
          <t>Res 604 Ohm 1, Yageo</t>
        </is>
      </c>
      <c r="E160" s="16" t="n">
        <v>4</v>
      </c>
      <c r="F160" s="16" t="inlineStr">
        <is>
          <t>Ready for unified AVL</t>
        </is>
      </c>
      <c r="G160" s="16" t="inlineStr">
        <is>
          <t>Review the suggested preferred PN and publish one controlled AVL entry.</t>
        </is>
      </c>
    </row>
    <row r="161">
      <c r="A161" s="15" t="inlineStr">
        <is>
          <t>R_619Ohm_1%_0.0625W__0402</t>
        </is>
      </c>
      <c r="B161" s="15" t="inlineStr">
        <is>
          <t>10G212619014010</t>
        </is>
      </c>
      <c r="C161" s="15" t="n">
        <v>4</v>
      </c>
      <c r="D161" s="15" t="inlineStr">
        <is>
          <t>Yageo, Res 619 Ohm 1</t>
        </is>
      </c>
      <c r="E161" s="15" t="n">
        <v>4</v>
      </c>
      <c r="F161" s="15" t="inlineStr">
        <is>
          <t>Ready for unified AVL</t>
        </is>
      </c>
      <c r="G161" s="15" t="inlineStr">
        <is>
          <t>Review the suggested preferred PN and publish one controlled AVL entry.</t>
        </is>
      </c>
    </row>
    <row r="162">
      <c r="A162" s="16" t="inlineStr">
        <is>
          <t>R_620kOhm_1%_0.0625W__0402</t>
        </is>
      </c>
      <c r="B162" s="16" t="inlineStr">
        <is>
          <t>10G212620314010</t>
        </is>
      </c>
      <c r="C162" s="16" t="n">
        <v>3</v>
      </c>
      <c r="D162" s="16" t="inlineStr">
        <is>
          <t>Res 620K Ohm 1, Yageo</t>
        </is>
      </c>
      <c r="E162" s="16" t="n">
        <v>3</v>
      </c>
      <c r="F162" s="16" t="inlineStr">
        <is>
          <t>Ready for unified AVL</t>
        </is>
      </c>
      <c r="G162" s="16" t="inlineStr">
        <is>
          <t>Review the suggested preferred PN and publish one controlled AVL entry.</t>
        </is>
      </c>
    </row>
    <row r="163">
      <c r="A163" s="15" t="inlineStr">
        <is>
          <t>R_62Ohm_5%_0.0625W__0402</t>
        </is>
      </c>
      <c r="B163" s="15" t="inlineStr">
        <is>
          <t>10G212620004010</t>
        </is>
      </c>
      <c r="C163" s="15" t="n">
        <v>4</v>
      </c>
      <c r="D163" s="15" t="inlineStr">
        <is>
          <t>Res 62 Ohm 1, Yageo</t>
        </is>
      </c>
      <c r="E163" s="15" t="n">
        <v>4</v>
      </c>
      <c r="F163" s="15" t="inlineStr">
        <is>
          <t>Ready for unified AVL</t>
        </is>
      </c>
      <c r="G163" s="15" t="inlineStr">
        <is>
          <t>Review the suggested preferred PN and publish one controlled AVL entry.</t>
        </is>
      </c>
    </row>
    <row r="164">
      <c r="A164" s="16" t="inlineStr">
        <is>
          <t>R_64.9kOhm_1%_0.0625W__0402</t>
        </is>
      </c>
      <c r="B164" s="16" t="inlineStr">
        <is>
          <t>10G212649214010</t>
        </is>
      </c>
      <c r="C164" s="16" t="n">
        <v>4</v>
      </c>
      <c r="D164" s="16" t="inlineStr">
        <is>
          <t>Res 64.9K Ohm 1, Yageo</t>
        </is>
      </c>
      <c r="E164" s="16" t="n">
        <v>4</v>
      </c>
      <c r="F164" s="16" t="inlineStr">
        <is>
          <t>Ready for unified AVL</t>
        </is>
      </c>
      <c r="G164" s="16" t="inlineStr">
        <is>
          <t>Review the suggested preferred PN and publish one controlled AVL entry.</t>
        </is>
      </c>
    </row>
    <row r="165">
      <c r="A165" s="15" t="inlineStr">
        <is>
          <t>R_649kOhm_1%_0.0625W__0402</t>
        </is>
      </c>
      <c r="B165" s="15" t="inlineStr">
        <is>
          <t>10G212649314010</t>
        </is>
      </c>
      <c r="C165" s="15" t="n">
        <v>4</v>
      </c>
      <c r="D165" s="15" t="inlineStr">
        <is>
          <t>Res 649K Ohm 1, Yageo</t>
        </is>
      </c>
      <c r="E165" s="15" t="n">
        <v>8</v>
      </c>
      <c r="F165" s="15" t="inlineStr">
        <is>
          <t>Ready for unified AVL</t>
        </is>
      </c>
      <c r="G165" s="15" t="inlineStr">
        <is>
          <t>Review the suggested preferred PN and publish one controlled AVL entry.</t>
        </is>
      </c>
    </row>
    <row r="166">
      <c r="A166" s="16" t="inlineStr">
        <is>
          <t>R_680Ohm_1%_0.0625W__0402</t>
        </is>
      </c>
      <c r="B166" s="16" t="inlineStr">
        <is>
          <t>10G212680014010</t>
        </is>
      </c>
      <c r="C166" s="16" t="n">
        <v>4</v>
      </c>
      <c r="D166" s="16" t="inlineStr">
        <is>
          <t>Res 680 Ohm 1, Yageo</t>
        </is>
      </c>
      <c r="E166" s="16" t="n">
        <v>28</v>
      </c>
      <c r="F166" s="16" t="inlineStr">
        <is>
          <t>Ready for unified AVL</t>
        </is>
      </c>
      <c r="G166" s="16" t="inlineStr">
        <is>
          <t>Review the suggested preferred PN and publish one controlled AVL entry.</t>
        </is>
      </c>
    </row>
    <row r="167">
      <c r="A167" s="15" t="inlineStr">
        <is>
          <t>R_68kOhm_1%_0.0625W__0402</t>
        </is>
      </c>
      <c r="B167" s="15" t="inlineStr">
        <is>
          <t>10G212680214010</t>
        </is>
      </c>
      <c r="C167" s="15" t="n">
        <v>4</v>
      </c>
      <c r="D167" s="15" t="inlineStr">
        <is>
          <t>Res 68K Ohm 1, Yageo</t>
        </is>
      </c>
      <c r="E167" s="15" t="n">
        <v>16</v>
      </c>
      <c r="F167" s="15" t="inlineStr">
        <is>
          <t>Ready for unified AVL</t>
        </is>
      </c>
      <c r="G167" s="15" t="inlineStr">
        <is>
          <t>Review the suggested preferred PN and publish one controlled AVL entry.</t>
        </is>
      </c>
    </row>
    <row r="168">
      <c r="A168" s="16" t="inlineStr">
        <is>
          <t>R_7.32kOhm_1%_0.0625W__0402</t>
        </is>
      </c>
      <c r="B168" s="16" t="inlineStr">
        <is>
          <t>10G212732114010</t>
        </is>
      </c>
      <c r="C168" s="16" t="n">
        <v>4</v>
      </c>
      <c r="D168" s="16" t="inlineStr">
        <is>
          <t>Yageo, Res 7.32K Ohm 1</t>
        </is>
      </c>
      <c r="E168" s="16" t="n">
        <v>4</v>
      </c>
      <c r="F168" s="16" t="inlineStr">
        <is>
          <t>Ready for unified AVL</t>
        </is>
      </c>
      <c r="G168" s="16" t="inlineStr">
        <is>
          <t>Review the suggested preferred PN and publish one controlled AVL entry.</t>
        </is>
      </c>
    </row>
    <row r="169">
      <c r="A169" s="15" t="inlineStr">
        <is>
          <t>R_75Ohm_1%_0.1W__0603</t>
        </is>
      </c>
      <c r="B169" s="15" t="inlineStr">
        <is>
          <t>10G21375R013010</t>
        </is>
      </c>
      <c r="C169" s="15" t="n">
        <v>4</v>
      </c>
      <c r="D169" s="15" t="inlineStr">
        <is>
          <t>Res 75 Ohm 1, Yageo</t>
        </is>
      </c>
      <c r="E169" s="15" t="n">
        <v>4</v>
      </c>
      <c r="F169" s="15" t="inlineStr">
        <is>
          <t>Ready for unified AVL</t>
        </is>
      </c>
      <c r="G169" s="15" t="inlineStr">
        <is>
          <t>Review the suggested preferred PN and publish one controlled AVL entry.</t>
        </is>
      </c>
    </row>
    <row r="170">
      <c r="A170" s="16" t="inlineStr">
        <is>
          <t>R_75kOhm_1%_0.0625W__0402</t>
        </is>
      </c>
      <c r="B170" s="16" t="inlineStr">
        <is>
          <t>10G212750214040</t>
        </is>
      </c>
      <c r="C170" s="16" t="n">
        <v>1</v>
      </c>
      <c r="D170" s="16" t="inlineStr">
        <is>
          <t>Res 75K Ohm 1</t>
        </is>
      </c>
      <c r="E170" s="16" t="n">
        <v>3</v>
      </c>
      <c r="F170" s="16" t="inlineStr">
        <is>
          <t>Single-source gap</t>
        </is>
      </c>
      <c r="G170" s="16" t="inlineStr">
        <is>
          <t>Source and qualify at least one alternate manufacturer.</t>
        </is>
      </c>
    </row>
    <row r="171">
      <c r="A171" s="15" t="inlineStr">
        <is>
          <t>R_8.2kOhm_1%_0.0625W__0402</t>
        </is>
      </c>
      <c r="B171" s="15" t="inlineStr">
        <is>
          <t>10G212820114010</t>
        </is>
      </c>
      <c r="C171" s="15" t="n">
        <v>4</v>
      </c>
      <c r="D171" s="15" t="inlineStr">
        <is>
          <t>Res 8.2K Ohm 1, Yageo</t>
        </is>
      </c>
      <c r="E171" s="15" t="n">
        <v>16</v>
      </c>
      <c r="F171" s="15" t="inlineStr">
        <is>
          <t>Ready for unified AVL</t>
        </is>
      </c>
      <c r="G171" s="15" t="inlineStr">
        <is>
          <t>Review the suggested preferred PN and publish one controlled AVL entry.</t>
        </is>
      </c>
    </row>
    <row r="172">
      <c r="A172" s="16" t="inlineStr">
        <is>
          <t>R_8.2kOhm_1%_0.1W__0603</t>
        </is>
      </c>
      <c r="B172" s="16" t="inlineStr">
        <is>
          <t>10005-00051000</t>
        </is>
      </c>
      <c r="C172" s="16" t="n">
        <v>3</v>
      </c>
      <c r="D172" s="16" t="inlineStr">
        <is>
          <t>Walsin, Yageo, Res 8.2K Ohm 1</t>
        </is>
      </c>
      <c r="E172" s="16" t="n">
        <v>3</v>
      </c>
      <c r="F172" s="16" t="inlineStr">
        <is>
          <t>Ready for unified AVL</t>
        </is>
      </c>
      <c r="G172" s="16" t="inlineStr">
        <is>
          <t>Review the suggested preferred PN and publish one controlled AVL entry.</t>
        </is>
      </c>
    </row>
    <row r="173">
      <c r="A173" s="15" t="inlineStr">
        <is>
          <t>R_8.66kOhm_1%_0.0625W__0402</t>
        </is>
      </c>
      <c r="B173" s="15" t="inlineStr">
        <is>
          <t>10G212866114010</t>
        </is>
      </c>
      <c r="C173" s="15" t="n">
        <v>4</v>
      </c>
      <c r="D173" s="15" t="inlineStr">
        <is>
          <t>Res 8.66K Ohm 1, Yageo</t>
        </is>
      </c>
      <c r="E173" s="15" t="n">
        <v>4</v>
      </c>
      <c r="F173" s="15" t="inlineStr">
        <is>
          <t>Ready for unified AVL</t>
        </is>
      </c>
      <c r="G173" s="15" t="inlineStr">
        <is>
          <t>Review the suggested preferred PN and publish one controlled AVL entry.</t>
        </is>
      </c>
    </row>
    <row r="174">
      <c r="A174" s="16" t="inlineStr">
        <is>
          <t>R_820Ohm_1%_0.0625W__0402</t>
        </is>
      </c>
      <c r="B174" s="16" t="inlineStr">
        <is>
          <t>10G212820014010</t>
        </is>
      </c>
      <c r="C174" s="16" t="n">
        <v>4</v>
      </c>
      <c r="D174" s="16" t="inlineStr">
        <is>
          <t>Res 820 Ohm 1, Yageo</t>
        </is>
      </c>
      <c r="E174" s="16" t="n">
        <v>4</v>
      </c>
      <c r="F174" s="16" t="inlineStr">
        <is>
          <t>Ready for unified AVL</t>
        </is>
      </c>
      <c r="G174" s="16" t="inlineStr">
        <is>
          <t>Review the suggested preferred PN and publish one controlled AVL entry.</t>
        </is>
      </c>
    </row>
    <row r="175">
      <c r="A175" s="15" t="inlineStr">
        <is>
          <t>R_90.9kOhm_1%_0.0625W__0402</t>
        </is>
      </c>
      <c r="B175" s="15" t="inlineStr">
        <is>
          <t>10G212909214010</t>
        </is>
      </c>
      <c r="C175" s="15" t="n">
        <v>4</v>
      </c>
      <c r="D175" s="15" t="inlineStr">
        <is>
          <t>Res 90.9K Ohm 1, Yageo</t>
        </is>
      </c>
      <c r="E175" s="15" t="n">
        <v>4</v>
      </c>
      <c r="F175" s="15" t="inlineStr">
        <is>
          <t>Ready for unified AVL</t>
        </is>
      </c>
      <c r="G175" s="15" t="inlineStr">
        <is>
          <t>Review the suggested preferred PN and publish one controlled AVL entry.</t>
        </is>
      </c>
    </row>
  </sheetData>
  <autoFilter ref="A1:G17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1"/>
  <sheetViews>
    <sheetView showGridLines="0" workbookViewId="0">
      <pane ySplit="1" topLeftCell="A2" activePane="bottomLeft" state="frozen"/>
      <selection pane="bottomLeft" activeCell="A1" sqref="A1"/>
    </sheetView>
  </sheetViews>
  <sheetFormatPr baseColWidth="8" defaultRowHeight="15"/>
  <cols>
    <col width="11" customWidth="1" min="1" max="1"/>
    <col width="19" customWidth="1" min="2" max="2"/>
    <col width="17" customWidth="1" min="3" max="3"/>
    <col width="17" customWidth="1" min="4" max="4"/>
    <col width="34" customWidth="1" min="5" max="5"/>
    <col width="48" customWidth="1" min="6" max="6"/>
  </cols>
  <sheetData>
    <row r="1" ht="30" customHeight="1">
      <c r="A1" s="14" t="inlineStr">
        <is>
          <t>Severity</t>
        </is>
      </c>
      <c r="B1" s="14" t="inlineStr">
        <is>
          <t>Risk</t>
        </is>
      </c>
      <c r="C1" s="14" t="inlineStr">
        <is>
          <t>PN</t>
        </is>
      </c>
      <c r="D1" s="14" t="inlineStr">
        <is>
          <t>Reference Count</t>
        </is>
      </c>
      <c r="E1" s="14" t="inlineStr">
        <is>
          <t>Finding</t>
        </is>
      </c>
      <c r="F1" s="14" t="inlineStr">
        <is>
          <t>Suggestion</t>
        </is>
      </c>
    </row>
    <row r="2">
      <c r="A2" s="16" t="inlineStr">
        <is>
          <t>High</t>
        </is>
      </c>
      <c r="B2" s="16" t="inlineStr">
        <is>
          <t>Data quality</t>
        </is>
      </c>
      <c r="C2" s="16" t="inlineStr"/>
      <c r="D2" s="16" t="n">
        <v>0</v>
      </c>
      <c r="E2" s="16" t="inlineStr">
        <is>
          <t>Missing manufacturer part number</t>
        </is>
      </c>
      <c r="F2" s="16" t="inlineStr">
        <is>
          <t>Complete the MPN before AVL, sourcing, or consolidation review.</t>
        </is>
      </c>
    </row>
    <row r="3">
      <c r="A3" s="15" t="inlineStr">
        <is>
          <t>High</t>
        </is>
      </c>
      <c r="B3" s="15" t="inlineStr">
        <is>
          <t>Data quality</t>
        </is>
      </c>
      <c r="C3" s="15" t="inlineStr"/>
      <c r="D3" s="15" t="n">
        <v>0</v>
      </c>
      <c r="E3" s="15" t="inlineStr">
        <is>
          <t>Missing manufacturer part number</t>
        </is>
      </c>
      <c r="F3" s="15" t="inlineStr">
        <is>
          <t>Complete the MPN before AVL, sourcing, or consolidation review.</t>
        </is>
      </c>
    </row>
    <row r="4">
      <c r="A4" s="16" t="inlineStr">
        <is>
          <t>High</t>
        </is>
      </c>
      <c r="B4" s="16" t="inlineStr">
        <is>
          <t>Supply continuity</t>
        </is>
      </c>
      <c r="C4" s="16" t="inlineStr">
        <is>
          <t>11203-0091F100</t>
        </is>
      </c>
      <c r="D4" s="16" t="n">
        <v>2</v>
      </c>
      <c r="E4" s="16" t="inlineStr">
        <is>
          <t>Single-source specification risk</t>
        </is>
      </c>
      <c r="F4" s="16" t="inlineStr">
        <is>
          <t>Qualify an alternate source and maintain it in the AVL.</t>
        </is>
      </c>
    </row>
    <row r="5">
      <c r="A5" s="15" t="inlineStr">
        <is>
          <t>High</t>
        </is>
      </c>
      <c r="B5" s="15" t="inlineStr">
        <is>
          <t>Supply continuity</t>
        </is>
      </c>
      <c r="C5" s="15" t="inlineStr">
        <is>
          <t>11203-0060Q000</t>
        </is>
      </c>
      <c r="D5" s="15" t="n">
        <v>4</v>
      </c>
      <c r="E5" s="15" t="inlineStr">
        <is>
          <t>Single-source specification risk</t>
        </is>
      </c>
      <c r="F5" s="15" t="inlineStr">
        <is>
          <t>Qualify an alternate source and maintain it in the AVL.</t>
        </is>
      </c>
    </row>
    <row r="6">
      <c r="A6" s="16" t="inlineStr">
        <is>
          <t>High</t>
        </is>
      </c>
      <c r="B6" s="16" t="inlineStr">
        <is>
          <t>Supply continuity</t>
        </is>
      </c>
      <c r="C6" s="16" t="inlineStr">
        <is>
          <t>11G232110415320</t>
        </is>
      </c>
      <c r="D6" s="16" t="n">
        <v>4</v>
      </c>
      <c r="E6" s="16" t="inlineStr">
        <is>
          <t>Single-source specification risk</t>
        </is>
      </c>
      <c r="F6" s="16" t="inlineStr">
        <is>
          <t>Qualify an alternate source and maintain it in the AVL.</t>
        </is>
      </c>
    </row>
    <row r="7">
      <c r="A7" s="15" t="inlineStr">
        <is>
          <t>High</t>
        </is>
      </c>
      <c r="B7" s="15" t="inlineStr">
        <is>
          <t>Supply continuity</t>
        </is>
      </c>
      <c r="C7" s="15" t="inlineStr">
        <is>
          <t>11207-0065D000</t>
        </is>
      </c>
      <c r="D7" s="15" t="n">
        <v>7</v>
      </c>
      <c r="E7" s="15" t="inlineStr">
        <is>
          <t>Single-source specification risk</t>
        </is>
      </c>
      <c r="F7" s="15" t="inlineStr">
        <is>
          <t>Qualify an alternate source and maintain it in the AVL.</t>
        </is>
      </c>
    </row>
    <row r="8">
      <c r="A8" s="16" t="inlineStr">
        <is>
          <t>High</t>
        </is>
      </c>
      <c r="B8" s="16" t="inlineStr">
        <is>
          <t>Supply continuity</t>
        </is>
      </c>
      <c r="C8" s="16" t="inlineStr">
        <is>
          <t>11204-0035F000</t>
        </is>
      </c>
      <c r="D8" s="16" t="n">
        <v>0</v>
      </c>
      <c r="E8" s="16" t="inlineStr">
        <is>
          <t>Single-source specification risk</t>
        </is>
      </c>
      <c r="F8" s="16" t="inlineStr">
        <is>
          <t>Qualify an alternate source and maintain it in the AVL.</t>
        </is>
      </c>
    </row>
    <row r="9">
      <c r="A9" s="15" t="inlineStr">
        <is>
          <t>High</t>
        </is>
      </c>
      <c r="B9" s="15" t="inlineStr">
        <is>
          <t>Supply continuity</t>
        </is>
      </c>
      <c r="C9" s="15" t="inlineStr">
        <is>
          <t>11203-0215F000</t>
        </is>
      </c>
      <c r="D9" s="15" t="n">
        <v>7</v>
      </c>
      <c r="E9" s="15" t="inlineStr">
        <is>
          <t>Single-source specification risk</t>
        </is>
      </c>
      <c r="F9" s="15" t="inlineStr">
        <is>
          <t>Qualify an alternate source and maintain it in the AVL.</t>
        </is>
      </c>
    </row>
    <row r="10">
      <c r="A10" s="16" t="inlineStr">
        <is>
          <t>High</t>
        </is>
      </c>
      <c r="B10" s="16" t="inlineStr">
        <is>
          <t>Supply continuity</t>
        </is>
      </c>
      <c r="C10" s="16" t="inlineStr">
        <is>
          <t>11203-0402F000</t>
        </is>
      </c>
      <c r="D10" s="16" t="n">
        <v>4</v>
      </c>
      <c r="E10" s="16" t="inlineStr">
        <is>
          <t>Single-source specification risk</t>
        </is>
      </c>
      <c r="F10" s="16" t="inlineStr">
        <is>
          <t>Qualify an alternate source and maintain it in the AVL.</t>
        </is>
      </c>
    </row>
    <row r="11">
      <c r="A11" s="15" t="inlineStr">
        <is>
          <t>High</t>
        </is>
      </c>
      <c r="B11" s="15" t="inlineStr">
        <is>
          <t>Supply continuity</t>
        </is>
      </c>
      <c r="C11" s="15" t="inlineStr">
        <is>
          <t>11G232222214320</t>
        </is>
      </c>
      <c r="D11" s="15" t="n">
        <v>1</v>
      </c>
      <c r="E11" s="15" t="inlineStr">
        <is>
          <t>Single-source specification risk</t>
        </is>
      </c>
      <c r="F11" s="15" t="inlineStr">
        <is>
          <t>Qualify an alternate source and maintain it in the AVL.</t>
        </is>
      </c>
    </row>
    <row r="12">
      <c r="A12" s="16" t="inlineStr">
        <is>
          <t>High</t>
        </is>
      </c>
      <c r="B12" s="16" t="inlineStr">
        <is>
          <t>Supply continuity</t>
        </is>
      </c>
      <c r="C12" s="16" t="inlineStr">
        <is>
          <t>11203-0154F000</t>
        </is>
      </c>
      <c r="D12" s="16" t="n">
        <v>8</v>
      </c>
      <c r="E12" s="16" t="inlineStr">
        <is>
          <t>Single-source specification risk</t>
        </is>
      </c>
      <c r="F12" s="16" t="inlineStr">
        <is>
          <t>Qualify an alternate source and maintain it in the AVL.</t>
        </is>
      </c>
    </row>
    <row r="13">
      <c r="A13" s="15" t="inlineStr">
        <is>
          <t>High</t>
        </is>
      </c>
      <c r="B13" s="15" t="inlineStr">
        <is>
          <t>Supply continuity</t>
        </is>
      </c>
      <c r="C13" s="15" t="inlineStr">
        <is>
          <t>11202-0359Q000</t>
        </is>
      </c>
      <c r="D13" s="15" t="n">
        <v>2</v>
      </c>
      <c r="E13" s="15" t="inlineStr">
        <is>
          <t>Single-source specification risk</t>
        </is>
      </c>
      <c r="F13" s="15" t="inlineStr">
        <is>
          <t>Qualify an alternate source and maintain it in the AVL.</t>
        </is>
      </c>
    </row>
    <row r="14">
      <c r="A14" s="16" t="inlineStr">
        <is>
          <t>High</t>
        </is>
      </c>
      <c r="B14" s="16" t="inlineStr">
        <is>
          <t>Supply continuity</t>
        </is>
      </c>
      <c r="C14" s="16" t="inlineStr">
        <is>
          <t>11203-0061F000</t>
        </is>
      </c>
      <c r="D14" s="16" t="n">
        <v>2</v>
      </c>
      <c r="E14" s="16" t="inlineStr">
        <is>
          <t>Single-source specification risk</t>
        </is>
      </c>
      <c r="F14" s="16" t="inlineStr">
        <is>
          <t>Qualify an alternate source and maintain it in the AVL.</t>
        </is>
      </c>
    </row>
    <row r="15">
      <c r="A15" s="15" t="inlineStr">
        <is>
          <t>High</t>
        </is>
      </c>
      <c r="B15" s="15" t="inlineStr">
        <is>
          <t>Supply continuity</t>
        </is>
      </c>
      <c r="C15" s="15" t="inlineStr">
        <is>
          <t>11206-0005F000</t>
        </is>
      </c>
      <c r="D15" s="15" t="n">
        <v>6</v>
      </c>
      <c r="E15" s="15" t="inlineStr">
        <is>
          <t>Single-source specification risk</t>
        </is>
      </c>
      <c r="F15" s="15" t="inlineStr">
        <is>
          <t>Qualify an alternate source and maintain it in the AVL.</t>
        </is>
      </c>
    </row>
    <row r="16">
      <c r="A16" s="16" t="inlineStr">
        <is>
          <t>High</t>
        </is>
      </c>
      <c r="B16" s="16" t="inlineStr">
        <is>
          <t>Supply continuity</t>
        </is>
      </c>
      <c r="C16" s="16" t="inlineStr">
        <is>
          <t>11203-0241F000</t>
        </is>
      </c>
      <c r="D16" s="16" t="n">
        <v>8</v>
      </c>
      <c r="E16" s="16" t="inlineStr">
        <is>
          <t>Single-source specification risk</t>
        </is>
      </c>
      <c r="F16" s="16" t="inlineStr">
        <is>
          <t>Qualify an alternate source and maintain it in the AVL.</t>
        </is>
      </c>
    </row>
    <row r="17">
      <c r="A17" s="15" t="inlineStr">
        <is>
          <t>High</t>
        </is>
      </c>
      <c r="B17" s="15" t="inlineStr">
        <is>
          <t>Supply continuity</t>
        </is>
      </c>
      <c r="C17" s="15" t="inlineStr">
        <is>
          <t>10G212000004020</t>
        </is>
      </c>
      <c r="D17" s="15" t="n">
        <v>140</v>
      </c>
      <c r="E17" s="15" t="inlineStr">
        <is>
          <t>Single-source specification risk</t>
        </is>
      </c>
      <c r="F17" s="15" t="inlineStr">
        <is>
          <t>Qualify an alternate source and maintain it in the AVL.</t>
        </is>
      </c>
    </row>
    <row r="18">
      <c r="A18" s="16" t="inlineStr">
        <is>
          <t>High</t>
        </is>
      </c>
      <c r="B18" s="16" t="inlineStr">
        <is>
          <t>Supply continuity</t>
        </is>
      </c>
      <c r="C18" s="16" t="inlineStr">
        <is>
          <t>10108-00241000</t>
        </is>
      </c>
      <c r="D18" s="16" t="n">
        <v>1</v>
      </c>
      <c r="E18" s="16" t="inlineStr">
        <is>
          <t>Single-source specification risk</t>
        </is>
      </c>
      <c r="F18" s="16" t="inlineStr">
        <is>
          <t>Qualify an alternate source and maintain it in the AVL.</t>
        </is>
      </c>
    </row>
    <row r="19">
      <c r="A19" s="15" t="inlineStr">
        <is>
          <t>High</t>
        </is>
      </c>
      <c r="B19" s="15" t="inlineStr">
        <is>
          <t>Supply continuity</t>
        </is>
      </c>
      <c r="C19" s="15" t="inlineStr">
        <is>
          <t>10G2123R9014010</t>
        </is>
      </c>
      <c r="D19" s="15" t="n">
        <v>1</v>
      </c>
      <c r="E19" s="15" t="inlineStr">
        <is>
          <t>Single-source specification risk</t>
        </is>
      </c>
      <c r="F19" s="15" t="inlineStr">
        <is>
          <t>Qualify an alternate source and maintain it in the AVL.</t>
        </is>
      </c>
    </row>
    <row r="20">
      <c r="A20" s="16" t="inlineStr">
        <is>
          <t>High</t>
        </is>
      </c>
      <c r="B20" s="16" t="inlineStr">
        <is>
          <t>Supply continuity</t>
        </is>
      </c>
      <c r="C20" s="16" t="inlineStr">
        <is>
          <t>10G21251R014080</t>
        </is>
      </c>
      <c r="D20" s="16" t="n">
        <v>1</v>
      </c>
      <c r="E20" s="16" t="inlineStr">
        <is>
          <t>Single-source specification risk</t>
        </is>
      </c>
      <c r="F20" s="16" t="inlineStr">
        <is>
          <t>Qualify an alternate source and maintain it in the AVL.</t>
        </is>
      </c>
    </row>
    <row r="21">
      <c r="A21" s="15" t="inlineStr">
        <is>
          <t>High</t>
        </is>
      </c>
      <c r="B21" s="15" t="inlineStr">
        <is>
          <t>Supply continuity</t>
        </is>
      </c>
      <c r="C21" s="15" t="inlineStr">
        <is>
          <t>10G212750214040</t>
        </is>
      </c>
      <c r="D21" s="15" t="n">
        <v>3</v>
      </c>
      <c r="E21" s="15" t="inlineStr">
        <is>
          <t>Single-source specification risk</t>
        </is>
      </c>
      <c r="F21" s="15" t="inlineStr">
        <is>
          <t>Qualify an alternate source and maintain it in the AVL.</t>
        </is>
      </c>
    </row>
  </sheetData>
  <autoFilter ref="A1:F21"/>
  <conditionalFormatting sqref="A2:A21">
    <cfRule type="expression" priority="1" dxfId="3">
      <formula>$A2="Critical"</formula>
    </cfRule>
    <cfRule type="expression" priority="2" dxfId="4">
      <formula>$A2="High"</formula>
    </cfRule>
    <cfRule type="expression" priority="3" dxfId="1">
      <formula>$A2="Medium"</formula>
    </cfRule>
    <cfRule type="expression" priority="4" dxfId="0">
      <formula>$A2="Low"</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2"/>
  <sheetViews>
    <sheetView showGridLines="0" workbookViewId="0">
      <pane ySplit="1" topLeftCell="A2" activePane="bottomLeft" state="frozen"/>
      <selection pane="bottomLeft" activeCell="A1" sqref="A1"/>
    </sheetView>
  </sheetViews>
  <sheetFormatPr baseColWidth="8" defaultRowHeight="15"/>
  <cols>
    <col width="11" customWidth="1" min="1" max="1"/>
    <col width="48" customWidth="1" min="2" max="2"/>
    <col width="48" customWidth="1" min="3" max="3"/>
    <col width="48" customWidth="1" min="4" max="4"/>
  </cols>
  <sheetData>
    <row r="1" ht="30" customHeight="1">
      <c r="A1" s="14" t="inlineStr">
        <is>
          <t>Section</t>
        </is>
      </c>
      <c r="B1" s="14" t="inlineStr">
        <is>
          <t>Name</t>
        </is>
      </c>
      <c r="C1" s="14" t="inlineStr">
        <is>
          <t>Value</t>
        </is>
      </c>
      <c r="D1" s="14" t="inlineStr">
        <is>
          <t>Source</t>
        </is>
      </c>
    </row>
    <row r="2">
      <c r="A2" s="16" t="inlineStr">
        <is>
          <t>Summary</t>
        </is>
      </c>
      <c r="B2" s="16" t="inlineStr">
        <is>
          <t>BOM Lines</t>
        </is>
      </c>
      <c r="C2" s="16" t="n">
        <v>909</v>
      </c>
      <c r="D2" s="16" t="inlineStr"/>
    </row>
    <row r="3">
      <c r="A3" s="15" t="inlineStr">
        <is>
          <t>Summary</t>
        </is>
      </c>
      <c r="B3" s="15" t="inlineStr">
        <is>
          <t>Total Component Quantity</t>
        </is>
      </c>
      <c r="C3" s="15" t="n">
        <v>5780</v>
      </c>
      <c r="D3" s="15" t="inlineStr"/>
    </row>
    <row r="4">
      <c r="A4" s="16" t="inlineStr">
        <is>
          <t>Summary</t>
        </is>
      </c>
      <c r="B4" s="16" t="inlineStr">
        <is>
          <t>MLCC Lines</t>
        </is>
      </c>
      <c r="C4" s="16" t="n">
        <v>322</v>
      </c>
      <c r="D4" s="16" t="inlineStr"/>
    </row>
    <row r="5">
      <c r="A5" s="15" t="inlineStr">
        <is>
          <t>Summary</t>
        </is>
      </c>
      <c r="B5" s="15" t="inlineStr">
        <is>
          <t>MLCC Quantity</t>
        </is>
      </c>
      <c r="C5" s="15" t="n">
        <v>2707</v>
      </c>
      <c r="D5" s="15" t="inlineStr"/>
    </row>
    <row r="6">
      <c r="A6" s="16" t="inlineStr">
        <is>
          <t>Summary</t>
        </is>
      </c>
      <c r="B6" s="16" t="inlineStr">
        <is>
          <t>MLCC Specifications</t>
        </is>
      </c>
      <c r="C6" s="16" t="n">
        <v>70</v>
      </c>
      <c r="D6" s="16" t="inlineStr"/>
    </row>
    <row r="7">
      <c r="A7" s="15" t="inlineStr">
        <is>
          <t>Summary</t>
        </is>
      </c>
      <c r="B7" s="15" t="inlineStr">
        <is>
          <t>Duplicate PN Groups</t>
        </is>
      </c>
      <c r="C7" s="15" t="n">
        <v>158</v>
      </c>
      <c r="D7" s="15" t="inlineStr"/>
    </row>
    <row r="8">
      <c r="A8" s="16" t="inlineStr">
        <is>
          <t>Summary</t>
        </is>
      </c>
      <c r="B8" s="16" t="inlineStr">
        <is>
          <t>Near Value Pairs</t>
        </is>
      </c>
      <c r="C8" s="16" t="n">
        <v>534</v>
      </c>
      <c r="D8" s="16" t="inlineStr"/>
    </row>
    <row r="9">
      <c r="A9" s="15" t="inlineStr">
        <is>
          <t>Summary</t>
        </is>
      </c>
      <c r="B9" s="15" t="inlineStr">
        <is>
          <t>Near Resistance Pairs</t>
        </is>
      </c>
      <c r="C9" s="15" t="n">
        <v>502</v>
      </c>
      <c r="D9" s="15" t="inlineStr"/>
    </row>
    <row r="10">
      <c r="A10" s="16" t="inlineStr">
        <is>
          <t>Summary</t>
        </is>
      </c>
      <c r="B10" s="16" t="inlineStr">
        <is>
          <t>Near Capacitance Pairs</t>
        </is>
      </c>
      <c r="C10" s="16" t="n">
        <v>32</v>
      </c>
      <c r="D10" s="16" t="inlineStr"/>
    </row>
    <row r="11">
      <c r="A11" s="15" t="inlineStr">
        <is>
          <t>Summary</t>
        </is>
      </c>
      <c r="B11" s="15" t="inlineStr">
        <is>
          <t>Different Package Groups</t>
        </is>
      </c>
      <c r="C11" s="15" t="n">
        <v>9</v>
      </c>
      <c r="D11" s="15" t="inlineStr"/>
    </row>
    <row r="12">
      <c r="A12" s="16" t="inlineStr">
        <is>
          <t>Summary</t>
        </is>
      </c>
      <c r="B12" s="16" t="inlineStr">
        <is>
          <t>Different Voltage Groups</t>
        </is>
      </c>
      <c r="C12" s="16" t="n">
        <v>12</v>
      </c>
      <c r="D12" s="16" t="inlineStr"/>
    </row>
    <row r="13">
      <c r="A13" s="15" t="inlineStr">
        <is>
          <t>Summary</t>
        </is>
      </c>
      <c r="B13" s="15" t="inlineStr">
        <is>
          <t>Different Material Groups</t>
        </is>
      </c>
      <c r="C13" s="15" t="n">
        <v>9</v>
      </c>
      <c r="D13" s="15" t="inlineStr"/>
    </row>
    <row r="14">
      <c r="A14" s="16" t="inlineStr">
        <is>
          <t>Summary</t>
        </is>
      </c>
      <c r="B14" s="16" t="inlineStr">
        <is>
          <t>Unified AVL Ready</t>
        </is>
      </c>
      <c r="C14" s="16" t="n">
        <v>156</v>
      </c>
      <c r="D14" s="16" t="inlineStr"/>
    </row>
    <row r="15">
      <c r="A15" s="15" t="inlineStr">
        <is>
          <t>Summary</t>
        </is>
      </c>
      <c r="B15" s="15" t="inlineStr">
        <is>
          <t>Cost Down Candidates</t>
        </is>
      </c>
      <c r="C15" s="15" t="n">
        <v>701</v>
      </c>
      <c r="D15" s="15" t="inlineStr"/>
    </row>
    <row r="16">
      <c r="A16" s="16" t="inlineStr">
        <is>
          <t>Summary</t>
        </is>
      </c>
      <c r="B16" s="16" t="inlineStr">
        <is>
          <t>Top Merge Candidates</t>
        </is>
      </c>
      <c r="C16" s="16" t="n">
        <v>4</v>
      </c>
      <c r="D16" s="16" t="inlineStr"/>
    </row>
    <row r="17">
      <c r="A17" s="15" t="inlineStr">
        <is>
          <t>Summary</t>
        </is>
      </c>
      <c r="B17" s="15" t="inlineStr">
        <is>
          <t>Estimated BOM Savings</t>
        </is>
      </c>
      <c r="C17" s="15" t="n">
        <v>0</v>
      </c>
      <c r="D17" s="15" t="inlineStr"/>
    </row>
    <row r="18">
      <c r="A18" s="16" t="inlineStr">
        <is>
          <t>Summary</t>
        </is>
      </c>
      <c r="B18" s="16" t="inlineStr">
        <is>
          <t>High Risk Findings</t>
        </is>
      </c>
      <c r="C18" s="16" t="n">
        <v>20</v>
      </c>
      <c r="D18" s="16" t="inlineStr"/>
    </row>
    <row r="19">
      <c r="A19" s="15" t="inlineStr">
        <is>
          <t>Summary</t>
        </is>
      </c>
      <c r="B19" s="15" t="inlineStr">
        <is>
          <t>Critical Component Lines</t>
        </is>
      </c>
      <c r="C19" s="15" t="n">
        <v>4</v>
      </c>
      <c r="D19" s="15" t="inlineStr"/>
    </row>
    <row r="20">
      <c r="A20" s="16" t="inlineStr">
        <is>
          <t>Summary</t>
        </is>
      </c>
      <c r="B20" s="16" t="inlineStr">
        <is>
          <t>Detected Vendors</t>
        </is>
      </c>
      <c r="C20" s="16" t="n">
        <v>253</v>
      </c>
      <c r="D20" s="16" t="inlineStr"/>
    </row>
    <row r="21">
      <c r="A21" s="15" t="inlineStr">
        <is>
          <t>Summary</t>
        </is>
      </c>
      <c r="B21" s="15" t="inlineStr">
        <is>
          <t>Average Data Quality</t>
        </is>
      </c>
      <c r="C21" s="15" t="n">
        <v>99.09999999999999</v>
      </c>
      <c r="D21" s="15" t="inlineStr"/>
    </row>
    <row r="22">
      <c r="A22" s="16" t="inlineStr">
        <is>
          <t>Summary</t>
        </is>
      </c>
      <c r="B22" s="16" t="inlineStr">
        <is>
          <t>Overall Score</t>
        </is>
      </c>
      <c r="C22" s="16" t="n">
        <v>15</v>
      </c>
      <c r="D22" s="16" t="inlineStr"/>
    </row>
    <row r="23">
      <c r="A23" s="15" t="inlineStr">
        <is>
          <t>Metadata</t>
        </is>
      </c>
      <c r="B23" s="15" t="inlineStr">
        <is>
          <t>Platform Version</t>
        </is>
      </c>
      <c r="C23" s="15" t="inlineStr">
        <is>
          <t>2.0.0</t>
        </is>
      </c>
      <c r="D23" s="15" t="inlineStr"/>
    </row>
    <row r="24">
      <c r="A24" s="16" t="inlineStr">
        <is>
          <t>Metadata</t>
        </is>
      </c>
      <c r="B24" s="16" t="inlineStr">
        <is>
          <t>Generated UTC</t>
        </is>
      </c>
      <c r="C24" s="16" t="inlineStr">
        <is>
          <t>2026-07-24T08:28:28+00:00</t>
        </is>
      </c>
      <c r="D24" s="16" t="inlineStr"/>
    </row>
    <row r="25">
      <c r="A25" s="15" t="inlineStr">
        <is>
          <t>Metadata</t>
        </is>
      </c>
      <c r="B25" s="15" t="inlineStr">
        <is>
          <t>Project Name</t>
        </is>
      </c>
      <c r="C25" s="15" t="inlineStr">
        <is>
          <t>P303NV</t>
        </is>
      </c>
      <c r="D25" s="15" t="inlineStr"/>
    </row>
    <row r="26">
      <c r="A26" s="16" t="inlineStr">
        <is>
          <t>Metadata</t>
        </is>
      </c>
      <c r="B26" s="16" t="inlineStr">
        <is>
          <t>Rule Source</t>
        </is>
      </c>
      <c r="C26" s="16" t="inlineStr">
        <is>
          <t>E:\GitHub\BOM_Normalization_Tool\config\default_rules.json; runtime near-value override</t>
        </is>
      </c>
      <c r="D26" s="16" t="inlineStr"/>
    </row>
    <row r="27">
      <c r="A27" s="15" t="inlineStr">
        <is>
          <t>Metadata</t>
        </is>
      </c>
      <c r="B27" s="15" t="inlineStr">
        <is>
          <t>Rule Schema Version</t>
        </is>
      </c>
      <c r="C27" s="15" t="n">
        <v>1</v>
      </c>
      <c r="D27" s="15" t="inlineStr"/>
    </row>
    <row r="28">
      <c r="A28" s="16" t="inlineStr">
        <is>
          <t>Metadata</t>
        </is>
      </c>
      <c r="B28" s="16" t="inlineStr">
        <is>
          <t>Resistor Near-Value Ratio</t>
        </is>
      </c>
      <c r="C28" s="16" t="n">
        <v>2.2</v>
      </c>
      <c r="D28" s="16" t="inlineStr"/>
    </row>
    <row r="29">
      <c r="A29" s="15" t="inlineStr">
        <is>
          <t>Metadata</t>
        </is>
      </c>
      <c r="B29" s="15" t="inlineStr">
        <is>
          <t>Capacitor Near-Value Ratio</t>
        </is>
      </c>
      <c r="C29" s="15" t="n">
        <v>2.2</v>
      </c>
      <c r="D29" s="15" t="inlineStr"/>
    </row>
    <row r="30">
      <c r="A30" s="16" t="inlineStr">
        <is>
          <t>Metadata</t>
        </is>
      </c>
      <c r="B30" s="16" t="inlineStr">
        <is>
          <t>Analyzed Rows</t>
        </is>
      </c>
      <c r="C30" s="16" t="n">
        <v>909</v>
      </c>
      <c r="D30" s="16" t="inlineStr"/>
    </row>
    <row r="31">
      <c r="A31" s="15" t="inlineStr">
        <is>
          <t>Metadata</t>
        </is>
      </c>
      <c r="B31" s="15" t="inlineStr">
        <is>
          <t>Input File</t>
        </is>
      </c>
      <c r="C31" s="15" t="inlineStr">
        <is>
          <t>E:\GitHub\BOM_Normalization_Tool\output\60bom.xlsx</t>
        </is>
      </c>
      <c r="D31" s="15" t="inlineStr"/>
    </row>
    <row r="32">
      <c r="A32" s="16" t="inlineStr">
        <is>
          <t>Metadata</t>
        </is>
      </c>
      <c r="B32" s="16" t="inlineStr">
        <is>
          <t>Input Type</t>
        </is>
      </c>
      <c r="C32" s="16" t="inlineStr">
        <is>
          <t>Excel workbook</t>
        </is>
      </c>
      <c r="D32" s="16" t="inlineStr"/>
    </row>
    <row r="33">
      <c r="A33" s="15" t="inlineStr">
        <is>
          <t>Metadata</t>
        </is>
      </c>
      <c r="B33" s="15" t="inlineStr">
        <is>
          <t>Selected Sheet</t>
        </is>
      </c>
      <c r="C33" s="15" t="inlineStr">
        <is>
          <t>My Excel Sheet</t>
        </is>
      </c>
      <c r="D33" s="15" t="inlineStr"/>
    </row>
    <row r="34">
      <c r="A34" s="16" t="inlineStr">
        <is>
          <t>Metadata</t>
        </is>
      </c>
      <c r="B34" s="16" t="inlineStr">
        <is>
          <t>Detected Header Row</t>
        </is>
      </c>
      <c r="C34" s="16" t="n">
        <v>1</v>
      </c>
      <c r="D34" s="16" t="inlineStr"/>
    </row>
    <row r="35">
      <c r="A35" s="15" t="inlineStr">
        <is>
          <t>Rules</t>
        </is>
      </c>
      <c r="B35" s="15" t="inlineStr">
        <is>
          <t>schema_version</t>
        </is>
      </c>
      <c r="C35" s="15" t="n">
        <v>1</v>
      </c>
      <c r="D35" s="15" t="inlineStr">
        <is>
          <t>E:\GitHub\BOM_Normalization_Tool\config\default_rules.json; runtime near-value override</t>
        </is>
      </c>
    </row>
    <row r="36">
      <c r="A36" s="16" t="inlineStr">
        <is>
          <t>Rules</t>
        </is>
      </c>
      <c r="B36" s="16" t="inlineStr">
        <is>
          <t>analysis.near_value_ratio.R</t>
        </is>
      </c>
      <c r="C36" s="16" t="n">
        <v>2.2</v>
      </c>
      <c r="D36" s="16" t="inlineStr">
        <is>
          <t>E:\GitHub\BOM_Normalization_Tool\config\default_rules.json; runtime near-value override</t>
        </is>
      </c>
    </row>
    <row r="37">
      <c r="A37" s="15" t="inlineStr">
        <is>
          <t>Rules</t>
        </is>
      </c>
      <c r="B37" s="15" t="inlineStr">
        <is>
          <t>analysis.near_value_ratio.C</t>
        </is>
      </c>
      <c r="C37" s="15" t="n">
        <v>2.2</v>
      </c>
      <c r="D37" s="15" t="inlineStr">
        <is>
          <t>E:\GitHub\BOM_Normalization_Tool\config\default_rules.json; runtime near-value override</t>
        </is>
      </c>
    </row>
    <row r="38">
      <c r="A38" s="16" t="inlineStr">
        <is>
          <t>Rules</t>
        </is>
      </c>
      <c r="B38" s="16" t="inlineStr">
        <is>
          <t>analysis.voltage_ratio_limit</t>
        </is>
      </c>
      <c r="C38" s="16" t="n">
        <v>4</v>
      </c>
      <c r="D38" s="16" t="inlineStr">
        <is>
          <t>E:\GitHub\BOM_Normalization_Tool\config\default_rules.json; runtime near-value override</t>
        </is>
      </c>
    </row>
    <row r="39">
      <c r="A39" s="15" t="inlineStr">
        <is>
          <t>Rules</t>
        </is>
      </c>
      <c r="B39" s="15" t="inlineStr">
        <is>
          <t>analysis.minimum_complete_spec_fields</t>
        </is>
      </c>
      <c r="C39" s="15" t="n">
        <v>4</v>
      </c>
      <c r="D39" s="15" t="inlineStr">
        <is>
          <t>E:\GitHub\BOM_Normalization_Tool\config\default_rules.json; runtime near-value override</t>
        </is>
      </c>
    </row>
    <row r="40">
      <c r="A40" s="16" t="inlineStr">
        <is>
          <t>Rules</t>
        </is>
      </c>
      <c r="B40" s="16" t="inlineStr">
        <is>
          <t>risk.lifecycle_keywords</t>
        </is>
      </c>
      <c r="C40" s="16" t="inlineStr">
        <is>
          <t>["EOL", "OBSOLETE", "DISCONTINUED", "NRND", "NOT RECOMMENDED", "LAST TIME BUY"]</t>
        </is>
      </c>
      <c r="D40" s="16" t="inlineStr">
        <is>
          <t>E:\GitHub\BOM_Normalization_Tool\config\default_rules.json; runtime near-value override</t>
        </is>
      </c>
    </row>
    <row r="41">
      <c r="A41" s="15" t="inlineStr">
        <is>
          <t>Rules</t>
        </is>
      </c>
      <c r="B41" s="15" t="inlineStr">
        <is>
          <t>risk.single_source_vendor_limit</t>
        </is>
      </c>
      <c r="C41" s="15" t="n">
        <v>1</v>
      </c>
      <c r="D41" s="15" t="inlineStr">
        <is>
          <t>E:\GitHub\BOM_Normalization_Tool\config\default_rules.json; runtime near-value override</t>
        </is>
      </c>
    </row>
    <row r="42">
      <c r="A42" s="16" t="inlineStr">
        <is>
          <t>Rules</t>
        </is>
      </c>
      <c r="B42" s="16" t="inlineStr">
        <is>
          <t>risk.high_fragmentation_pn_count</t>
        </is>
      </c>
      <c r="C42" s="16" t="n">
        <v>3</v>
      </c>
      <c r="D42" s="16" t="inlineStr">
        <is>
          <t>E:\GitHub\BOM_Normalization_Tool\config\default_rules.json; runtime near-value override</t>
        </is>
      </c>
    </row>
    <row r="43">
      <c r="A43" s="15" t="inlineStr">
        <is>
          <t>Rules</t>
        </is>
      </c>
      <c r="B43" s="15" t="inlineStr">
        <is>
          <t>risk.unknown_vendor_is_risk</t>
        </is>
      </c>
      <c r="C43" s="15" t="b">
        <v>1</v>
      </c>
      <c r="D43" s="15" t="inlineStr">
        <is>
          <t>E:\GitHub\BOM_Normalization_Tool\config\default_rules.json; runtime near-value override</t>
        </is>
      </c>
    </row>
    <row r="44">
      <c r="A44" s="16" t="inlineStr">
        <is>
          <t>Rules</t>
        </is>
      </c>
      <c r="B44" s="16" t="inlineStr">
        <is>
          <t>risk.missing_part_number_is_risk</t>
        </is>
      </c>
      <c r="C44" s="16" t="b">
        <v>1</v>
      </c>
      <c r="D44" s="16" t="inlineStr">
        <is>
          <t>E:\GitHub\BOM_Normalization_Tool\config\default_rules.json; runtime near-value override</t>
        </is>
      </c>
    </row>
    <row r="45">
      <c r="A45" s="15" t="inlineStr">
        <is>
          <t>Rules</t>
        </is>
      </c>
      <c r="B45" s="15" t="inlineStr">
        <is>
          <t>avl.minimum_vendors</t>
        </is>
      </c>
      <c r="C45" s="15" t="n">
        <v>2</v>
      </c>
      <c r="D45" s="15" t="inlineStr">
        <is>
          <t>E:\GitHub\BOM_Normalization_Tool\config\default_rules.json; runtime near-value override</t>
        </is>
      </c>
    </row>
    <row r="46">
      <c r="A46" s="16" t="inlineStr">
        <is>
          <t>Rules</t>
        </is>
      </c>
      <c r="B46" s="16" t="inlineStr">
        <is>
          <t>avl.approved_vendors</t>
        </is>
      </c>
      <c r="C46" s="16" t="inlineStr">
        <is>
          <t>[]</t>
        </is>
      </c>
      <c r="D46" s="16" t="inlineStr">
        <is>
          <t>E:\GitHub\BOM_Normalization_Tool\config\default_rules.json; runtime near-value override</t>
        </is>
      </c>
    </row>
    <row r="47">
      <c r="A47" s="15" t="inlineStr">
        <is>
          <t>Rules</t>
        </is>
      </c>
      <c r="B47" s="15" t="inlineStr">
        <is>
          <t>avl.blocked_vendors</t>
        </is>
      </c>
      <c r="C47" s="15" t="inlineStr">
        <is>
          <t>[]</t>
        </is>
      </c>
      <c r="D47" s="15" t="inlineStr">
        <is>
          <t>E:\GitHub\BOM_Normalization_Tool\config\default_rules.json; runtime near-value override</t>
        </is>
      </c>
    </row>
    <row r="48">
      <c r="A48" s="16" t="inlineStr">
        <is>
          <t>Rules</t>
        </is>
      </c>
      <c r="B48" s="16" t="inlineStr">
        <is>
          <t>cost_down.minimum_impact_quantity</t>
        </is>
      </c>
      <c r="C48" s="16" t="n">
        <v>1</v>
      </c>
      <c r="D48" s="16" t="inlineStr">
        <is>
          <t>E:\GitHub\BOM_Normalization_Tool\config\default_rules.json; runtime near-value override</t>
        </is>
      </c>
    </row>
    <row r="49">
      <c r="A49" s="15" t="inlineStr">
        <is>
          <t>Rules</t>
        </is>
      </c>
      <c r="B49" s="15" t="inlineStr">
        <is>
          <t>cost_down.same_spec_priority</t>
        </is>
      </c>
      <c r="C49" s="15" t="n">
        <v>90</v>
      </c>
      <c r="D49" s="15" t="inlineStr">
        <is>
          <t>E:\GitHub\BOM_Normalization_Tool\config\default_rules.json; runtime near-value override</t>
        </is>
      </c>
    </row>
    <row r="50">
      <c r="A50" s="16" t="inlineStr">
        <is>
          <t>Rules</t>
        </is>
      </c>
      <c r="B50" s="16" t="inlineStr">
        <is>
          <t>cost_down.near_value_priority</t>
        </is>
      </c>
      <c r="C50" s="16" t="n">
        <v>60</v>
      </c>
      <c r="D50" s="16" t="inlineStr">
        <is>
          <t>E:\GitHub\BOM_Normalization_Tool\config\default_rules.json; runtime near-value override</t>
        </is>
      </c>
    </row>
    <row r="51">
      <c r="A51" s="15" t="inlineStr">
        <is>
          <t>Rules</t>
        </is>
      </c>
      <c r="B51" s="15" t="inlineStr">
        <is>
          <t>cost_down.package_priority</t>
        </is>
      </c>
      <c r="C51" s="15" t="n">
        <v>45</v>
      </c>
      <c r="D51" s="15" t="inlineStr">
        <is>
          <t>E:\GitHub\BOM_Normalization_Tool\config\default_rules.json; runtime near-value override</t>
        </is>
      </c>
    </row>
    <row r="52">
      <c r="A52" s="16" t="inlineStr">
        <is>
          <t>Rules</t>
        </is>
      </c>
      <c r="B52" s="16" t="inlineStr">
        <is>
          <t>merge_opportunity.candidate_quantity_limit</t>
        </is>
      </c>
      <c r="C52" s="16" t="n">
        <v>10</v>
      </c>
      <c r="D52" s="16" t="inlineStr">
        <is>
          <t>E:\GitHub\BOM_Normalization_Tool\config\default_rules.json; runtime near-value override</t>
        </is>
      </c>
    </row>
    <row r="53">
      <c r="A53" s="15" t="inlineStr">
        <is>
          <t>Rules</t>
        </is>
      </c>
      <c r="B53" s="15" t="inlineStr">
        <is>
          <t>merge_opportunity.quantity_score_bands</t>
        </is>
      </c>
      <c r="C53" s="15" t="inlineStr">
        <is>
          <t>[{"max_quantity": 2, "score": 100}, {"max_quantity": 5, "score": 90}, {"max_quantity": 10, "score": 80}, {"max_quantity": 20, "score": 60}, {"max_quantity": null, "score": 20}]</t>
        </is>
      </c>
      <c r="D53" s="15" t="inlineStr">
        <is>
          <t>E:\GitHub\BOM_Normalization_Tool\config\default_rules.json; runtime near-value override</t>
        </is>
      </c>
    </row>
    <row r="54">
      <c r="A54" s="16" t="inlineStr">
        <is>
          <t>Rules</t>
        </is>
      </c>
      <c r="B54" s="16" t="inlineStr">
        <is>
          <t>merge_opportunity.score_weights.quantity</t>
        </is>
      </c>
      <c r="C54" s="16" t="n">
        <v>0.45</v>
      </c>
      <c r="D54" s="16" t="inlineStr">
        <is>
          <t>E:\GitHub\BOM_Normalization_Tool\config\default_rules.json; runtime near-value override</t>
        </is>
      </c>
    </row>
    <row r="55">
      <c r="A55" s="15" t="inlineStr">
        <is>
          <t>Rules</t>
        </is>
      </c>
      <c r="B55" s="15" t="inlineStr">
        <is>
          <t>merge_opportunity.score_weights.spec_similarity</t>
        </is>
      </c>
      <c r="C55" s="15" t="n">
        <v>0.4</v>
      </c>
      <c r="D55" s="15" t="inlineStr">
        <is>
          <t>E:\GitHub\BOM_Normalization_Tool\config\default_rules.json; runtime near-value override</t>
        </is>
      </c>
    </row>
    <row r="56">
      <c r="A56" s="16" t="inlineStr">
        <is>
          <t>Rules</t>
        </is>
      </c>
      <c r="B56" s="16" t="inlineStr">
        <is>
          <t>merge_opportunity.score_weights.engineering_risk</t>
        </is>
      </c>
      <c r="C56" s="16" t="n">
        <v>0.15</v>
      </c>
      <c r="D56" s="16" t="inlineStr">
        <is>
          <t>E:\GitHub\BOM_Normalization_Tool\config\default_rules.json; runtime near-value override</t>
        </is>
      </c>
    </row>
    <row r="57">
      <c r="A57" s="15" t="inlineStr">
        <is>
          <t>Rules</t>
        </is>
      </c>
      <c r="B57" s="15" t="inlineStr">
        <is>
          <t>confidence.exact_specification</t>
        </is>
      </c>
      <c r="C57" s="15" t="n">
        <v>0.98</v>
      </c>
      <c r="D57" s="15" t="inlineStr">
        <is>
          <t>E:\GitHub\BOM_Normalization_Tool\config\default_rules.json; runtime near-value override</t>
        </is>
      </c>
    </row>
    <row r="58">
      <c r="A58" s="16" t="inlineStr">
        <is>
          <t>Rules</t>
        </is>
      </c>
      <c r="B58" s="16" t="inlineStr">
        <is>
          <t>confidence.structured_attribute</t>
        </is>
      </c>
      <c r="C58" s="16" t="n">
        <v>0.92</v>
      </c>
      <c r="D58" s="16" t="inlineStr">
        <is>
          <t>E:\GitHub\BOM_Normalization_Tool\config\default_rules.json; runtime near-value override</t>
        </is>
      </c>
    </row>
    <row r="59">
      <c r="A59" s="15" t="inlineStr">
        <is>
          <t>Rules</t>
        </is>
      </c>
      <c r="B59" s="15" t="inlineStr">
        <is>
          <t>confidence.near_value</t>
        </is>
      </c>
      <c r="C59" s="15" t="n">
        <v>0.82</v>
      </c>
      <c r="D59" s="15" t="inlineStr">
        <is>
          <t>E:\GitHub\BOM_Normalization_Tool\config\default_rules.json; runtime near-value override</t>
        </is>
      </c>
    </row>
    <row r="60">
      <c r="A60" s="16" t="inlineStr">
        <is>
          <t>Rules</t>
        </is>
      </c>
      <c r="B60" s="16" t="inlineStr">
        <is>
          <t>confidence.keyword_risk</t>
        </is>
      </c>
      <c r="C60" s="16" t="n">
        <v>0.88</v>
      </c>
      <c r="D60" s="16" t="inlineStr">
        <is>
          <t>E:\GitHub\BOM_Normalization_Tool\config\default_rules.json; runtime near-value override</t>
        </is>
      </c>
    </row>
    <row r="61">
      <c r="A61" s="15" t="inlineStr">
        <is>
          <t>Rules</t>
        </is>
      </c>
      <c r="B61" s="15" t="inlineStr">
        <is>
          <t>confidence.missing_data</t>
        </is>
      </c>
      <c r="C61" s="15" t="n">
        <v>0.99</v>
      </c>
      <c r="D61" s="15" t="inlineStr">
        <is>
          <t>E:\GitHub\BOM_Normalization_Tool\config\default_rules.json; runtime near-value override</t>
        </is>
      </c>
    </row>
    <row r="62">
      <c r="A62" s="16" t="inlineStr">
        <is>
          <t>Rules</t>
        </is>
      </c>
      <c r="B62" s="16" t="inlineStr">
        <is>
          <t>custom_rules</t>
        </is>
      </c>
      <c r="C62" s="16" t="inlineStr">
        <is>
          <t>[{"id": "ORG-001", "enabled": false, "field": "Lifecycle_Status", "operator": "equals_any", "values": ["Conditional", "Restricted"], "component_types": [], "severity": "High", "confidence": 0.95, "finding": "Component is restricted by the organization lifecycle policy", "recommendation": "Obtain sourcing approval or qualify a replacement."}]</t>
        </is>
      </c>
      <c r="D62" s="16" t="inlineStr">
        <is>
          <t>E:\GitHub\BOM_Normalization_Tool\config\default_rules.json; runtime near-value override</t>
        </is>
      </c>
    </row>
  </sheetData>
  <autoFilter ref="A1:D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2026-07-24T08:28:28Z</dcterms:created>
  <dcterms:modified xsi:type="dcterms:W3CDTF">2026-07-24T08:28:31Z</dcterms:modified>
</cp:coreProperties>
</file>